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e402671f73447d" /></Relationships>
</file>

<file path=xl/workbook.xml><?xml version="1.0" encoding="utf-8"?>
<workbook xmlns="http://schemas.openxmlformats.org/spreadsheetml/2006/main">
  <sheets>
    <sheet xmlns:r="http://schemas.openxmlformats.org/officeDocument/2006/relationships" name="0 Station Barcode" sheetId="1" r:id="R9961595c64c8460b"/>
    <sheet xmlns:r="http://schemas.openxmlformats.org/officeDocument/2006/relationships" name="1 Station 1" sheetId="2" r:id="Re9b7b1a20da24d45"/>
    <sheet xmlns:r="http://schemas.openxmlformats.org/officeDocument/2006/relationships" name="3 Station 3" sheetId="3" r:id="Rc6a3f3cdd5264e50"/>
  </sheets>
  <definedNames>
    <definedName name="_xlnm.Print_Area" localSheetId="0">'0 Station Barcode'!$A$1:$G$34</definedName>
    <definedName name="_xlnm.Print_Titles" localSheetId="0">'0 Station Barcode'!$10:$10</definedName>
    <definedName name="_xlnm.Print_Area" localSheetId="1">'1 Station 1'!$A$1:$G$50</definedName>
    <definedName name="_xlnm.Print_Titles" localSheetId="1">'1 Station 1'!$10:$10</definedName>
    <definedName name="_xlnm.Print_Area" localSheetId="2">'3 Station 3'!$A$1:$G$39</definedName>
    <definedName name="_xlnm.Print_Titles" localSheetId="2">'3 Station 3'!$10:$10</definedName>
  </definedNames>
</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/mm/yyyy"/>
  </x:numFmts>
  <x:fonts count="12">
    <x:font>
      <x:sz val="11"/>
      <x:name val="Carlito"/>
    </x:font>
    <x:font>
      <x:sz val="11"/>
      <x:color rgb="FF243449"/>
      <x:name val="Tahoma"/>
    </x:font>
    <x:font>
      <x:b/>
      <x:sz val="16"/>
      <x:color rgb="FF24566F"/>
      <x:name val="Tahoma"/>
    </x:font>
    <x:font>
      <x:sz val="11"/>
      <x:color rgb="FF64748B"/>
      <x:name val="Tahoma"/>
    </x:font>
    <x:font>
      <x:b/>
      <x:sz val="11"/>
      <x:color rgb="FF24566F"/>
      <x:name val="Tahoma"/>
    </x:font>
    <x:font>
      <x:b/>
      <x:sz val="11"/>
      <x:color rgb="FFFFFFFF"/>
      <x:name val="Tahoma"/>
    </x:font>
    <x:font>
      <x:b/>
      <x:sz val="11"/>
      <x:color rgb="FF9A5C10"/>
      <x:name val="Tahoma"/>
    </x:font>
    <x:font>
      <x:sz val="10"/>
      <x:color rgb="FF64748B"/>
      <x:name val="Tahoma"/>
    </x:font>
    <x:font>
      <x:b/>
      <x:sz val="16"/>
      <x:color rgb="FF354C83"/>
      <x:name val="Tahoma"/>
    </x:font>
    <x:font>
      <x:b/>
      <x:sz val="11"/>
      <x:color rgb="FF354C83"/>
      <x:name val="Tahoma"/>
    </x:font>
    <x:font>
      <x:b/>
      <x:sz val="16"/>
      <x:color rgb="FF655080"/>
      <x:name val="Tahoma"/>
    </x:font>
    <x:font>
      <x:b/>
      <x:sz val="11"/>
      <x:color rgb="FF655080"/>
      <x:name val="Tahoma"/>
    </x:font>
  </x:fonts>
  <x:fills count="9">
    <x:fill>
      <x:patternFill patternType="none"/>
    </x:fill>
    <x:fill>
      <x:patternFill patternType="gray125"/>
    </x:fill>
    <x:fill>
      <x:patternFill patternType="solid">
        <x:fgColor rgb="FFFFF2CC"/>
      </x:patternFill>
    </x:fill>
    <x:fill>
      <x:patternFill patternType="solid">
        <x:fgColor rgb="FFFFFFFF"/>
      </x:patternFill>
    </x:fill>
    <x:fill>
      <x:patternFill patternType="solid">
        <x:fgColor rgb="FF24566F"/>
      </x:patternFill>
    </x:fill>
    <x:fill>
      <x:patternFill patternType="solid">
        <x:fgColor rgb="FFF1F5F9"/>
      </x:patternFill>
    </x:fill>
    <x:fill>
      <x:patternFill patternType="solid">
        <x:fgColor rgb="FFFFF9E8"/>
      </x:patternFill>
    </x:fill>
    <x:fill>
      <x:patternFill patternType="solid">
        <x:fgColor rgb="FF354C83"/>
      </x:patternFill>
    </x:fill>
    <x:fill>
      <x:patternFill patternType="solid">
        <x:fgColor rgb="FF655080"/>
      </x:patternFill>
    </x:fill>
  </x:fills>
  <x:borders count="4">
    <x:border/>
    <x:border>
      <x:bottom style="thin">
        <x:color rgb="FF24566F"/>
      </x:bottom>
    </x:border>
    <x:border>
      <x:bottom style="thin">
        <x:color rgb="FF354C83"/>
      </x:bottom>
    </x:border>
    <x:border>
      <x:bottom style="thin">
        <x:color rgb="FF655080"/>
      </x:bottom>
    </x:border>
  </x:borders>
  <x:cellStyleXfs count="1">
    <x:xf numFmtId="0" fontId="0" fillId="0" borderId="0"/>
  </x:cellStyleXfs>
  <x:cellXfs count="3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center" wrapText="1"/>
    </x:xf>
    <x:xf numFmtId="0" fontId="5" fillId="4" borderId="0" xfId="0" applyNumberFormat="1" applyFont="1" applyFill="1" applyBorder="1" applyAlignment="1">
      <x:alignment vertical="center" wrapText="1"/>
    </x:xf>
    <x:xf numFmtId="0" fontId="5" fillId="4" borderId="0" xfId="0" applyNumberFormat="1" applyFont="1" applyFill="1" applyBorder="1" applyAlignment="1">
      <x:alignment horizontal="center" vertical="center" wrapText="1"/>
    </x:xf>
    <x:xf numFmtId="0" fontId="1" fillId="5" borderId="0" xfId="0" applyNumberFormat="1" applyFont="1" applyFill="1" applyBorder="1" applyAlignment="1">
      <x:alignment vertical="top" wrapText="1"/>
    </x:xf>
    <x:xf numFmtId="0" fontId="1" fillId="6" borderId="0" xfId="0" applyNumberFormat="1" applyFont="1" applyFill="1" applyBorder="1" applyAlignment="1">
      <x:alignment vertical="top" wrapText="1"/>
    </x:xf>
    <x:xf numFmtId="0" fontId="1" fillId="6" borderId="0" xfId="0" applyNumberFormat="1" applyFont="1" applyFill="1" applyBorder="1" applyAlignment="1">
      <x:alignment horizontal="center" vertical="top" wrapText="1"/>
    </x:xf>
    <x:xf numFmtId="0" fontId="6" fillId="0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 applyAlignment="1">
      <x:alignment vertical="center"/>
    </x:xf>
    <x:xf numFmtId="0" fontId="1" fillId="0" borderId="2" xfId="0" applyNumberFormat="1" applyFont="1" applyFill="1" applyBorder="1" applyAlignment="1">
      <x:alignment vertical="center"/>
    </x:xf>
    <x:xf numFmtId="0" fontId="9" fillId="0" borderId="0" xfId="0" applyNumberFormat="1" applyFont="1" applyFill="1" applyBorder="1" applyAlignment="1">
      <x:alignment vertical="center"/>
    </x:xf>
    <x:xf numFmtId="0" fontId="1" fillId="7" borderId="0" xfId="0" applyNumberFormat="1" applyFont="1" applyFill="1" applyBorder="1" applyAlignment="1">
      <x:alignment vertical="center" wrapText="1"/>
    </x:xf>
    <x:xf numFmtId="0" fontId="5" fillId="7" borderId="0" xfId="0" applyNumberFormat="1" applyFont="1" applyFill="1" applyBorder="1" applyAlignment="1">
      <x:alignment vertical="center" wrapText="1"/>
    </x:xf>
    <x:xf numFmtId="0" fontId="5" fillId="7" borderId="0" xfId="0" applyNumberFormat="1" applyFont="1" applyFill="1" applyBorder="1" applyAlignment="1">
      <x:alignment horizontal="center" vertical="center" wrapText="1"/>
    </x:xf>
    <x:xf numFmtId="0" fontId="10" fillId="0" borderId="0" xfId="0" applyNumberFormat="1" applyFont="1" applyFill="1" applyBorder="1" applyAlignment="1">
      <x:alignment vertical="center"/>
    </x:xf>
    <x:xf numFmtId="0" fontId="1" fillId="0" borderId="3" xfId="0" applyNumberFormat="1" applyFont="1" applyFill="1" applyBorder="1" applyAlignment="1">
      <x:alignment vertical="center"/>
    </x:xf>
    <x:xf numFmtId="0" fontId="11" fillId="0" borderId="0" xfId="0" applyNumberFormat="1" applyFont="1" applyFill="1" applyBorder="1" applyAlignment="1">
      <x:alignment vertical="center"/>
    </x:xf>
    <x:xf numFmtId="0" fontId="1" fillId="8" borderId="0" xfId="0" applyNumberFormat="1" applyFont="1" applyFill="1" applyBorder="1" applyAlignment="1">
      <x:alignment vertical="center" wrapText="1"/>
    </x:xf>
    <x:xf numFmtId="0" fontId="5" fillId="8" borderId="0" xfId="0" applyNumberFormat="1" applyFont="1" applyFill="1" applyBorder="1" applyAlignment="1">
      <x:alignment vertical="center" wrapText="1"/>
    </x:xf>
    <x:xf numFmtId="0" fontId="5" fillId="8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12">
    <x:dxf>
      <x:font>
        <x:b/>
        <x:color rgb="FF286340"/>
      </x:font>
      <x:fill>
        <x:patternFill patternType="solid">
          <x:bgColor rgb="FFE7F3EC"/>
        </x:patternFill>
      </x:fill>
    </x:dxf>
    <x:dxf>
      <x:font>
        <x:b/>
        <x:color rgb="FFA32A28"/>
      </x:font>
      <x:fill>
        <x:patternFill patternType="solid">
          <x:bgColor rgb="FFFDE9E7"/>
        </x:patternFill>
      </x:fill>
    </x:dxf>
    <x:dxf>
      <x:font>
        <x:b/>
        <x:color rgb="FF865B13"/>
      </x:font>
      <x:fill>
        <x:patternFill patternType="solid">
          <x:bgColor rgb="FFFFF0C4"/>
        </x:patternFill>
      </x:fill>
    </x:dxf>
    <x:dxf>
      <x:font>
        <x:b/>
        <x:color rgb="FF596777"/>
      </x:font>
      <x:fill>
        <x:patternFill patternType="solid">
          <x:bgColor rgb="FFE8EDF2"/>
        </x:patternFill>
      </x:fill>
    </x:dxf>
    <x:dxf>
      <x:font>
        <x:b/>
        <x:color rgb="FF286340"/>
      </x:font>
      <x:fill>
        <x:patternFill patternType="solid">
          <x:bgColor rgb="FFE7F3EC"/>
        </x:patternFill>
      </x:fill>
    </x:dxf>
    <x:dxf>
      <x:font>
        <x:b/>
        <x:color rgb="FFA32A28"/>
      </x:font>
      <x:fill>
        <x:patternFill patternType="solid">
          <x:bgColor rgb="FFFDE9E7"/>
        </x:patternFill>
      </x:fill>
    </x:dxf>
    <x:dxf>
      <x:font>
        <x:b/>
        <x:color rgb="FF865B13"/>
      </x:font>
      <x:fill>
        <x:patternFill patternType="solid">
          <x:bgColor rgb="FFFFF0C4"/>
        </x:patternFill>
      </x:fill>
    </x:dxf>
    <x:dxf>
      <x:font>
        <x:b/>
        <x:color rgb="FF596777"/>
      </x:font>
      <x:fill>
        <x:patternFill patternType="solid">
          <x:bgColor rgb="FFE8EDF2"/>
        </x:patternFill>
      </x:fill>
    </x:dxf>
    <x:dxf>
      <x:font>
        <x:b/>
        <x:color rgb="FF286340"/>
      </x:font>
      <x:fill>
        <x:patternFill patternType="solid">
          <x:bgColor rgb="FFE7F3EC"/>
        </x:patternFill>
      </x:fill>
    </x:dxf>
    <x:dxf>
      <x:font>
        <x:b/>
        <x:color rgb="FFA32A28"/>
      </x:font>
      <x:fill>
        <x:patternFill patternType="solid">
          <x:bgColor rgb="FFFDE9E7"/>
        </x:patternFill>
      </x:fill>
    </x:dxf>
    <x:dxf>
      <x:font>
        <x:b/>
        <x:color rgb="FF865B13"/>
      </x:font>
      <x:fill>
        <x:patternFill patternType="solid">
          <x:bgColor rgb="FFFFF0C4"/>
        </x:patternFill>
      </x:fill>
    </x:dxf>
    <x:dxf>
      <x:font>
        <x:b/>
        <x:color rgb="FF596777"/>
      </x:font>
      <x:fill>
        <x:patternFill patternType="solid">
          <x:bgColor rgb="FFE8EDF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9f7ce07c7eb468a" /><Relationship Type="http://schemas.openxmlformats.org/officeDocument/2006/relationships/theme" Target="/xl/theme/theme1.xml" Id="Ra0be859bbecc4161" /><Relationship Type="http://schemas.openxmlformats.org/officeDocument/2006/relationships/sharedStrings" Target="/xl/sharedStrings.xml" Id="Re0347d9f8e474293" /><Relationship Type="http://schemas.openxmlformats.org/officeDocument/2006/relationships/worksheet" Target="/xl/worksheets/sheet1.xml" Id="R9961595c64c8460b" /><Relationship Type="http://schemas.openxmlformats.org/officeDocument/2006/relationships/worksheet" Target="/xl/worksheets/sheet2.xml" Id="Re9b7b1a20da24d45" /><Relationship Type="http://schemas.openxmlformats.org/officeDocument/2006/relationships/worksheet" Target="/xl/worksheets/sheet3.xml" Id="Rc6a3f3cdd5264e50" /></Relationships>
</file>

<file path=xl/tables/table1.xml><?xml version="1.0" encoding="utf-8"?>
<x:table xmlns:x="http://schemas.openxmlformats.org/spreadsheetml/2006/main" id="1" name="Tests_B" displayName="Tests_B" ref="A10:G25" headerRowCount="1" totalsRowCount="0" totalsRowShown="0">
  <x:autoFilter ref="A10:G25"/>
  <x:tableColumns count="7">
    <x:tableColumn id="1" name="Test ID"/>
    <x:tableColumn id="2" name="รายการทดสอบ"/>
    <x:tableColumn id="3" name="เตรียมก่อนทดสอบ"/>
    <x:tableColumn id="4" name="วิธีทดสอบ"/>
    <x:tableColumn id="5" name="ผลที่คาดหวัง"/>
    <x:tableColumn id="6" name="ผลทดสอบ"/>
    <x:tableColumn id="7" name="ผลจริง / Lot / หลักฐาน"/>
  </x:tableColumns>
  <x:tableStyleInfo name="TableStyleLight1" showFirstColumn="0" showLastColumn="0" showRowStripes="1" showColumnStripes="0"/>
</x:table>
</file>

<file path=xl/tables/table2.xml><?xml version="1.0" encoding="utf-8"?>
<x:table xmlns:x="http://schemas.openxmlformats.org/spreadsheetml/2006/main" id="2" name="Tests_S1" displayName="Tests_S1" ref="A10:G38" headerRowCount="1" totalsRowCount="0" totalsRowShown="0">
  <x:autoFilter ref="A10:G38"/>
  <x:tableColumns count="7">
    <x:tableColumn id="1" name="Test ID"/>
    <x:tableColumn id="2" name="รายการทดสอบ"/>
    <x:tableColumn id="3" name="เตรียมก่อนทดสอบ"/>
    <x:tableColumn id="4" name="วิธีทดสอบ"/>
    <x:tableColumn id="5" name="ผลที่คาดหวัง"/>
    <x:tableColumn id="6" name="ผลทดสอบ"/>
    <x:tableColumn id="7" name="ผลจริง / Lot / หลักฐาน"/>
  </x:tableColumns>
  <x:tableStyleInfo name="TableStyleLight1" showFirstColumn="0" showLastColumn="0" showRowStripes="1" showColumnStripes="0"/>
</x:table>
</file>

<file path=xl/tables/table3.xml><?xml version="1.0" encoding="utf-8"?>
<x:table xmlns:x="http://schemas.openxmlformats.org/spreadsheetml/2006/main" id="3" name="Tests_S3" displayName="Tests_S3" ref="A10:G28" headerRowCount="1" totalsRowCount="0" totalsRowShown="0">
  <x:autoFilter ref="A10:G28"/>
  <x:tableColumns count="7">
    <x:tableColumn id="1" name="Test ID"/>
    <x:tableColumn id="2" name="รายการทดสอบ"/>
    <x:tableColumn id="3" name="เตรียมก่อนทดสอบ"/>
    <x:tableColumn id="4" name="วิธีทดสอบ"/>
    <x:tableColumn id="5" name="ผลที่คาดหวัง"/>
    <x:tableColumn id="6" name="ผลทดสอบ"/>
    <x:tableColumn id="7" name="ผลจริง / Lot / หลักฐาน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19a2fbb139544a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7fc8aa082bc48f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59a7753332514461" /></Relationships>
</file>

<file path=xl/worksheets/sheet1.xml><?xml version="1.0" encoding="utf-8"?>
<worksheet xmlns="http://schemas.openxmlformats.org/spreadsheetml/2006/main">
  <sheetPr>
    <tabColor rgb="FF24566F"/>
    <pageSetUpPr fitToPage="1"/>
  </sheetPr>
  <sheetViews>
    <sheetView showGridLines="0" workbookViewId="0" zoomScale="85">
      <pane xSplit="2" ySplit="10" topLeftCell="C11" activePane="bottomRight" state="frozen"/>
    </sheetView>
  </sheetViews>
  <sheetFormatPr defaultRowHeight="15"/>
  <cols>
    <col min="1" max="1" width="12" hidden="0" customWidth="1"/>
    <col min="2" max="2" width="25" hidden="0" customWidth="1"/>
    <col min="3" max="3" width="30" hidden="0" customWidth="1"/>
    <col min="4" max="4" width="46" hidden="0" customWidth="1"/>
    <col min="5" max="5" width="51" hidden="0" customWidth="1"/>
    <col min="6" max="6" width="21" hidden="0" customWidth="1"/>
    <col min="7" max="7" width="34" hidden="0" customWidth="1"/>
  </cols>
  <sheetData>
    <row r="1" ht="9" customHeight="1">
      <c r="A1" s="2"/>
      <c r="B1" s="2"/>
      <c r="C1" s="2"/>
      <c r="D1" s="2"/>
      <c r="E1" s="2"/>
      <c r="F1" s="2"/>
      <c r="G1" s="2"/>
    </row>
    <row r="2" ht="31" customHeight="1">
      <c r="A2" s="3" t="str">
        <v>Station Barcode · Menu Mode 0</v>
      </c>
      <c r="B2" s="3"/>
      <c r="C2" s="3"/>
      <c r="D2" s="3"/>
      <c r="E2" s="3"/>
      <c r="F2" s="3"/>
      <c r="G2" s="3"/>
    </row>
    <row r="3" ht="23" customHeight="1">
      <c r="A3" s="4" t="str">
        <v>Compact Inkjet · Integration Test หน้างาน · อ้างอิงโค้ด 2e12b36 · จัดทำ 24/09/2026</v>
      </c>
      <c r="B3" s="4"/>
      <c r="C3" s="4"/>
      <c r="D3" s="4"/>
      <c r="E3" s="4"/>
      <c r="F3" s="4"/>
      <c r="G3" s="4"/>
    </row>
    <row r="4" ht="23" customHeight="1">
      <c r="A4" s="2" t="str">
        <v>ผู้ทดสอบ</v>
      </c>
      <c r="B4" s="5"/>
      <c r="C4" s="2" t="str">
        <v>วันที่ทดสอบ</v>
      </c>
      <c r="D4" s="6"/>
      <c r="E4" s="2" t="str">
        <v>เวอร์ชัน / เครื่อง / รอบทดสอบ</v>
      </c>
      <c r="F4" s="5"/>
      <c r="G4" s="5"/>
    </row>
    <row r="5" ht="23" customHeight="1">
      <c r="A5" s="2" t="str">
        <v>Flow: สแกน → ตรวจ Lot / Qty / Marking → ลงทะเบียน → ตรวจงานที่ Station 1 และ 3</v>
      </c>
      <c r="B5" s="2"/>
      <c r="C5" s="2"/>
      <c r="D5" s="2"/>
      <c r="E5" s="2"/>
      <c r="F5" s="2"/>
      <c r="G5" s="2"/>
    </row>
    <row r="6" ht="23" customHeight="1">
      <c r="A6" s="2" t="str">
        <v>เตรียม: PrintData.db3, mydatabase.db3 และ Backend ชุดทดสอบ ใช้ Lot จริงที่ทราบ Marking และข้อความอ้างอิง</v>
      </c>
      <c r="B6" s="2"/>
      <c r="C6" s="2"/>
      <c r="D6" s="2"/>
      <c r="E6" s="2"/>
      <c r="F6" s="2"/>
      <c r="G6" s="2"/>
    </row>
    <row r="7" ht="23" customHeight="1">
      <c r="A7" s="7" t="str">
        <v>วิธีใช้: เลือกผลช่อง F; ช่อง G จด Lot/Job, ผลจริง, เวลา/รูป/เลขปัญหา • ผลคาดหวังคือเกณฑ์ผ่าน ยังไม่ใช่ผลทดสอบแล้ว</v>
      </c>
      <c r="B7" s="7"/>
      <c r="C7" s="7"/>
      <c r="D7" s="7"/>
      <c r="E7" s="7"/>
      <c r="F7" s="7"/>
      <c r="G7" s="7"/>
    </row>
    <row r="8" ht="23" customHeight="1">
      <c r="A8" s="8" t="str">
        <f>"รวม "&amp;COUNTA(A11:A25)</f>
        <v>รวม 15</v>
      </c>
      <c r="B8" s="8" t="str">
        <f>"ผ่าน "&amp;COUNTIFS(F11:F25,"☑ ผ่าน")</f>
        <v>ผ่าน 0</v>
      </c>
      <c r="C8" s="8" t="str">
        <f>"ไม่ผ่าน "&amp;COUNTIFS(F11:F25,"☒ ไม่ผ่าน")</f>
        <v>ไม่ผ่าน 0</v>
      </c>
      <c r="D8" s="8" t="str">
        <f>"ยังไม่ทดสอบ "&amp;COUNTIFS(F11:F25,"☐ ยังไม่ทดสอบ")</f>
        <v>ยังไม่ทดสอบ 15</v>
      </c>
      <c r="E8" s="8" t="str">
        <f>"รอทดสอบ "&amp;COUNTIFS(F11:F25,"รอทดสอบ")</f>
        <v>รอทดสอบ 0</v>
      </c>
      <c r="F8" s="8" t="str">
        <f>"ไม่เกี่ยวข้อง "&amp;COUNTIFS(F11:F25,"ไม่เกี่ยวข้อง")</f>
        <v>ไม่เกี่ยวข้อง 0</v>
      </c>
      <c r="G8" s="2"/>
    </row>
    <row r="9" ht="23" customHeight="1">
      <c r="A9" s="2" t="str">
        <v>ทดสอบ Error/ตัดการเชื่อมต่อกับชุดทดสอบที่เตรียมไว้; ไม่มีอุปกรณ์หรือเงื่อนไขไม่พร้อมให้เลือก “รอทดสอบ” พร้อมเหตุผล</v>
      </c>
      <c r="B9" s="2"/>
      <c r="C9" s="2"/>
      <c r="D9" s="2"/>
      <c r="E9" s="2"/>
      <c r="F9" s="2"/>
      <c r="G9" s="2"/>
    </row>
    <row r="10" ht="30" customHeight="1">
      <c r="A10" s="15" t="str">
        <v>Test ID</v>
      </c>
      <c r="B10" s="15" t="str">
        <v>รายการทดสอบ</v>
      </c>
      <c r="C10" s="15" t="str">
        <v>เตรียมก่อนทดสอบ</v>
      </c>
      <c r="D10" s="15" t="str">
        <v>วิธีทดสอบ</v>
      </c>
      <c r="E10" s="15" t="str">
        <v>ผลที่คาดหวัง</v>
      </c>
      <c r="F10" s="15" t="str">
        <v>ผลทดสอบ</v>
      </c>
      <c r="G10" s="15" t="str">
        <v>ผลจริง / Lot / หลักฐาน</v>
      </c>
    </row>
    <row r="11" ht="64" customHeight="1">
      <c r="A11" s="12" t="str">
        <v>B-01</v>
      </c>
      <c r="B11" s="12" t="str">
        <v>เมนูและค่าเชื่อมต่อ</v>
      </c>
      <c r="C11" s="12" t="str">
        <v>ตั้ง MENU_LEVEL = 0</v>
      </c>
      <c r="D11" s="12" t="str">
        <v>เปิดโปรแกรม ตรวจชื่อหน้าและเมนู แล้วปิดเปิดใหม่</v>
      </c>
      <c r="E11" s="12" t="str">
        <v>เห็น Scan Barcode, Database Setting, Backend DB Setting; ค่าตั้งยังอยู่</v>
      </c>
      <c r="F11" s="18" t="str">
        <v>☐ ยังไม่ทดสอบ</v>
      </c>
      <c r="G11" s="17"/>
    </row>
    <row r="12" ht="64" customHeight="1">
      <c r="A12" s="16" t="str">
        <v>B-02</v>
      </c>
      <c r="B12" s="16" t="str">
        <v>เปิดโปรแกรมซ้ำ</v>
      </c>
      <c r="C12" s="16" t="str">
        <v>โปรแกรมเปิดอยู่แล้ว</v>
      </c>
      <c r="D12" s="16" t="str">
        <v>เปิดไอคอนซ้ำ 2–3 ครั้ง</v>
      </c>
      <c r="E12" s="16" t="str">
        <v>มีโปรแกรมทำงานตัวเดียว ไม่ลงทะเบียนหรือส่งคำสั่งซ้ำ</v>
      </c>
      <c r="F12" s="18" t="str">
        <v>☐ ยังไม่ทดสอบ</v>
      </c>
      <c r="G12" s="17"/>
    </row>
    <row r="13" ht="64" customHeight="1">
      <c r="A13" s="12" t="str">
        <v>B-03</v>
      </c>
      <c r="B13" s="12" t="str">
        <v>สแกนและตรวจข้อมูล</v>
      </c>
      <c r="C13" s="12" t="str">
        <v>Lot ที่มี print_data, inkjet_data และ Routing ครบ</v>
      </c>
      <c r="D13" s="12" t="str">
        <v>สแกนแล้ว Enter; เทียบ Order No, Qty, Marking กับข้อมูลต้นทาง</v>
      </c>
      <c r="E13" s="12" t="str">
        <v>แสดงข้อมูลตรง Lot ครบ ไม่ใช้ข้อมูลจากงานก่อน</v>
      </c>
      <c r="F13" s="18" t="str">
        <v>☐ ยังไม่ทดสอบ</v>
      </c>
      <c r="G13" s="17"/>
    </row>
    <row r="14" ht="64" customHeight="1">
      <c r="A14" s="16" t="str">
        <v>B-04</v>
      </c>
      <c r="B14" s="16" t="str">
        <v>สแกนโดยไม่กด Enter</v>
      </c>
      <c r="C14" s="16" t="str">
        <v>Lot ที่มีข้อมูลครบ</v>
      </c>
      <c r="D14" s="16" t="str">
        <v>สแกนแล้วรอแสดงข้อมูล; ถ้ายังไม่โหลดให้กด OK</v>
      </c>
      <c r="E14" s="16" t="str">
        <v>โหลดข้อมูลอัตโนมัติ; ถ้า OK เพิ่งดึงข้อมูล ต้องกด OK อีกครั้งจึงลงทะเบียน</v>
      </c>
      <c r="F14" s="18" t="str">
        <v>☐ ยังไม่ทดสอบ</v>
      </c>
      <c r="G14" s="17"/>
    </row>
    <row r="15" ht="64" customHeight="1">
      <c r="A15" s="12" t="str">
        <v>B-05</v>
      </c>
      <c r="B15" s="12" t="str">
        <v>Barcode ว่าง / ไม่พบ</v>
      </c>
      <c r="C15" s="12" t="str">
        <v>Barcode ว่าง และ Lot ที่ไม่มีในฐานข้อมูล</v>
      </c>
      <c r="D15" s="12" t="str">
        <v>ลองค้นหาและกด OK ทีละกรณี</v>
      </c>
      <c r="E15" s="12" t="str">
        <v>แจ้งให้กรอกหรือไม่พบข้อมูล; ไม่สร้าง Job</v>
      </c>
      <c r="F15" s="18" t="str">
        <v>☐ ยังไม่ทดสอบ</v>
      </c>
      <c r="G15" s="17"/>
    </row>
    <row r="16" ht="64" customHeight="1">
      <c r="A16" s="16" t="str">
        <v>B-06</v>
      </c>
      <c r="B16" s="16" t="str">
        <v>เปลี่ยน Lot ระหว่างกรอก</v>
      </c>
      <c r="C16" s="16" t="str">
        <v>Lot A มีข้อมูล; Lot B ไม่พบ</v>
      </c>
      <c r="D16" s="16" t="str">
        <v>โหลด A แล้วเปลี่ยนเป็น B จากนั้นกด OK</v>
      </c>
      <c r="E16" s="16" t="str">
        <v>ไม่สร้าง B ด้วย Order / Qty / Marking ของ A</v>
      </c>
      <c r="F16" s="18" t="str">
        <v>☐ ยังไม่ทดสอบ</v>
      </c>
      <c r="G16" s="17"/>
    </row>
    <row r="17" ht="64" customHeight="1">
      <c r="A17" s="12" t="str">
        <v>B-07</v>
      </c>
      <c r="B17" s="12" t="str">
        <v>แก้ Qty</v>
      </c>
      <c r="C17" s="12" t="str">
        <v>Lot ที่อ่านข้อมูลได้</v>
      </c>
      <c r="D17" s="12" t="str">
        <v>ใส่ Qty = 5 แล้วลงทะเบียน; เทียบต้นทางและงานใหม่</v>
      </c>
      <c r="E17" s="12" t="str">
        <v>Job ใหม่ใช้ Qty 5; Qty ใน PrintData.db3 และ UV ต้นทางไม่ถูกแก้</v>
      </c>
      <c r="F17" s="18" t="str">
        <v>☐ ยังไม่ทดสอบ</v>
      </c>
      <c r="G17" s="17"/>
    </row>
    <row r="18" ht="64" customHeight="1">
      <c r="A18" s="16" t="str">
        <v>B-08</v>
      </c>
      <c r="B18" s="16" t="str">
        <v>Qty ไม่ถูกต้อง</v>
      </c>
      <c r="C18" s="16" t="str">
        <v>Lot ที่โหลดแล้ว</v>
      </c>
      <c r="D18" s="16" t="str">
        <v>ลอง 0, -1, 1.5 และตัวอักษร; แก้เป็นจำนวนเต็มบวก</v>
      </c>
      <c r="E18" s="16" t="str">
        <v>ไม่รับค่าผิด; หลังแก้ถูกต้องลงทะเบียนได้</v>
      </c>
      <c r="F18" s="18" t="str">
        <v>☐ ยังไม่ทดสอบ</v>
      </c>
      <c r="G18" s="17"/>
    </row>
    <row r="19" ht="64" customHeight="1">
      <c r="A19" s="12" t="str">
        <v>B-09</v>
      </c>
      <c r="B19" s="12" t="str">
        <v>ลงทะเบียนครบและส่งต่อ</v>
      </c>
      <c r="C19" s="12" t="str">
        <v>Lot 02, 01, 10, 11, 12, 22 อย่างละงาน</v>
      </c>
      <c r="D19" s="12" t="str">
        <v>ลงทะเบียนทีละ Lot; จด Job ID แล้วตรวจที่ Station 1 / 3</v>
      </c>
      <c r="E19" s="12" t="str">
        <v>งานเป็น Waiting; Pattern / UV / Routing ผูกถูก Job; แสดงตรง Station ตาม Marking</v>
      </c>
      <c r="F19" s="18" t="str">
        <v>☐ ยังไม่ทดสอบ</v>
      </c>
      <c r="G19" s="17"/>
    </row>
    <row r="20" ht="64" customHeight="1">
      <c r="A20" s="16" t="str">
        <v>B-10</v>
      </c>
      <c r="B20" s="16" t="str">
        <v>ไฟล์ต้นทาง / Share หลุด</v>
      </c>
      <c r="C20" s="16" t="str">
        <v>สำเนา SQLite ผ่าน Network Share</v>
      </c>
      <c r="D20" s="16" t="str">
        <v>ทำให้ Path ใช้ไม่ได้ แล้วสแกน; คืนการเชื่อมต่อและลองใหม่</v>
      </c>
      <c r="E20" s="16" t="str">
        <v>แจ้งอ่านฐานข้อมูลไม่ได้; ไม่สร้างงานจากข้อมูลค้าง; กลับมาอ่านได้</v>
      </c>
      <c r="F20" s="18" t="str">
        <v>☐ ยังไม่ทดสอบ</v>
      </c>
      <c r="G20" s="17"/>
    </row>
    <row r="21" ht="64" customHeight="1">
      <c r="A21" s="12" t="str">
        <v>B-11</v>
      </c>
      <c r="B21" s="12" t="str">
        <v>Backend หรือ PostgreSQL ล่ม</v>
      </c>
      <c r="C21" s="12" t="str">
        <v>ผู้ดูแลควบคุมระบบทดสอบ</v>
      </c>
      <c r="D21" s="12" t="str">
        <v>หยุด Backend หรือ DB แล้วลงทะเบียน; เปิดกลับและลองใหม่</v>
      </c>
      <c r="E21" s="12" t="str">
        <v>แจ้งสร้างงานไม่ได้; ไม่รายงานสำเร็จผิด และไม่มีงานซ้ำโดยไม่ทราบสาเหตุ</v>
      </c>
      <c r="F21" s="18" t="str">
        <v>☐ ยังไม่ทดสอบ</v>
      </c>
      <c r="G21" s="17"/>
    </row>
    <row r="22" ht="64" customHeight="1">
      <c r="A22" s="16" t="str">
        <v>B-12</v>
      </c>
      <c r="B22" s="16" t="str">
        <v>ข้อมูลหรือ API ไม่ครบ</v>
      </c>
      <c r="C22" s="16" t="str">
        <v>Lot ขาด inkjet_data / Routing; ผู้ดูแลจำลอง API ล้มเหลว</v>
      </c>
      <c r="D22" s="16" t="str">
        <v>ทดสอบแต่ละกรณี; ตรวจ Job, Pattern, UV และ IAI ที่เหลือ</v>
      </c>
      <c r="E22" s="16" t="str">
        <v>ขาด inkjet_data ไม่สร้างงาน; Pattern ล้มเหลวลบ Job คืน; ข้อมูลส่วนอื่นขาดต้องตรวจพบ</v>
      </c>
      <c r="F22" s="18" t="str">
        <v>☐ ยังไม่ทดสอบ</v>
      </c>
      <c r="G22" s="17"/>
    </row>
    <row r="23" ht="64" customHeight="1">
      <c r="A23" s="12" t="str">
        <v>B-13</v>
      </c>
      <c r="B23" s="12" t="str">
        <v>ฐานข้อมูลแคลมป์ไม่พร้อม</v>
      </c>
      <c r="C23" s="12" t="str">
        <v>ยังไม่ตั้ง mydatabase หรือไม่มีโปรแกรมที่ค้นหา</v>
      </c>
      <c r="D23" s="12" t="str">
        <v>ลงทะเบียนงาน UV; ลองยกเลิกและยืนยันทำต่อเมื่อมีคำเตือน</v>
      </c>
      <c r="E23" s="12" t="str">
        <v>ยกเลิกแล้วไม่สร้าง Job; ทำต่อเก็บ IAI ที่หาไม่พบเป็นค่าว่าง ไม่ใช้ค่าของงานอื่น</v>
      </c>
      <c r="F23" s="18" t="str">
        <v>☐ ยังไม่ทดสอบ</v>
      </c>
      <c r="G23" s="17"/>
    </row>
    <row r="24" ht="64" customHeight="1">
      <c r="A24" s="16" t="str">
        <v>B-14</v>
      </c>
      <c r="B24" s="16" t="str">
        <v>รับงานพร้อมกัน / ข้ามวัน</v>
      </c>
      <c r="C24" s="16" t="str">
        <v>สองเครื่อง Barcode ในระบบทดสอบ; เวลาวันไทยที่เตรียมไว้</v>
      </c>
      <c r="D24" s="16" t="str">
        <v>ลงทะเบียนพร้อมกัน และทดสอบก่อน/หลังเที่ยงคืนตามเวลาไทย</v>
      </c>
      <c r="E24" s="16" t="str">
        <v>Job ID ไม่ชน; เลขงานประจำวันไม่ซ้ำ และเริ่มวันใหม่ถูกต้อง</v>
      </c>
      <c r="F24" s="18" t="str">
        <v>☐ ยังไม่ทดสอบ</v>
      </c>
      <c r="G24" s="17"/>
    </row>
    <row r="25" ht="64" customHeight="1">
      <c r="A25" s="12" t="str">
        <v>B-15</v>
      </c>
      <c r="B25" s="12" t="str">
        <v>ไม่ส่งเครื่องจากหน้า Barcode</v>
      </c>
      <c r="C25" s="12" t="str">
        <v>มีคิว active ที่ยังไม่ส่งใน Backend ทดสอบ</v>
      </c>
      <c r="D25" s="12" t="str">
        <v>เปิดเฉพาะ Mode 0; เฝ้าประวัติคำสั่งและปลายทางจำลอง</v>
      </c>
      <c r="E25" s="12" t="str">
        <v>หน้า Barcode ต้องไม่หยิบคิวไปสั่งเครื่องเอง; หากมีคำสั่งออกให้บันทึกไม่ผ่าน</v>
      </c>
      <c r="F25" s="18" t="str">
        <v>☐ ยังไม่ทดสอบ</v>
      </c>
      <c r="G25" s="17"/>
    </row>
    <row r="26" ht="23" customHeight="1">
      <c r="A26" s="2"/>
      <c r="B26" s="2"/>
      <c r="C26" s="2"/>
      <c r="D26" s="2"/>
      <c r="E26" s="2"/>
      <c r="F26" s="2"/>
      <c r="G26" s="2"/>
    </row>
    <row r="27" ht="23" customHeight="1">
      <c r="A27" s="2"/>
      <c r="B27" s="2"/>
      <c r="C27" s="2"/>
      <c r="D27" s="2"/>
      <c r="E27" s="2"/>
      <c r="F27" s="2"/>
      <c r="G27" s="2"/>
    </row>
    <row r="28" ht="23" customHeight="1">
      <c r="A28" s="19" t="str">
        <v>จุดเสี่ยงที่ควรตรวจ</v>
      </c>
      <c r="B28" s="19"/>
      <c r="C28" s="19"/>
      <c r="D28" s="19"/>
      <c r="E28" s="19"/>
      <c r="F28" s="19"/>
      <c r="G28" s="19"/>
    </row>
    <row r="29" ht="23" customHeight="1">
      <c r="A29" s="2" t="str">
        <v>B-12: ลงทะเบียนผ่านหลาย API จึงมีโอกาสเหลือ Job ที่ข้อมูลไม่ครบ; ผลบันทึก IAI ไม่ถูกแจ้งชัด</v>
      </c>
      <c r="B29" s="2"/>
      <c r="C29" s="2"/>
      <c r="D29" s="2"/>
      <c r="E29" s="2"/>
      <c r="F29" s="2"/>
      <c r="G29" s="2"/>
    </row>
    <row r="30" ht="23" customHeight="1">
      <c r="A30" s="2" t="str">
        <v>B-15: StationService.Current มองทุกโหมดที่ไม่ใช่ 3 เป็น ST1 ต้องตรวจว่าหน้า Barcode ไม่ส่งงานเบื้องหลัง</v>
      </c>
      <c r="B30" s="2"/>
      <c r="C30" s="2"/>
      <c r="D30" s="2"/>
      <c r="E30" s="2"/>
      <c r="F30" s="2"/>
      <c r="G30" s="2"/>
    </row>
    <row r="31" ht="23" customHeight="1">
      <c r="A31" s="2" t="str">
        <v>B-10: ต้องทดลอง Share หลังเปิดเครื่องใหม่ด้วย เพื่อยืนยันสิทธิ์เข้าถึงไฟล์จริง</v>
      </c>
      <c r="B31" s="2"/>
      <c r="C31" s="2"/>
      <c r="D31" s="2"/>
      <c r="E31" s="2"/>
      <c r="F31" s="2"/>
      <c r="G31" s="2"/>
    </row>
    <row r="32" ht="23" customHeight="1">
      <c r="A32" s="2"/>
      <c r="B32" s="2"/>
      <c r="C32" s="2"/>
      <c r="D32" s="2"/>
      <c r="E32" s="2"/>
      <c r="F32" s="2"/>
      <c r="G32" s="2"/>
    </row>
    <row r="33" ht="23" customHeight="1">
      <c r="A33" s="20" t="str">
        <v>อ้างอิงโค้ด 2e12b36: MainShellForm, ScanBarcodeUserControl, SqliteDataService, StationService, JobController</v>
      </c>
      <c r="B33" s="20"/>
      <c r="C33" s="20"/>
      <c r="D33" s="20"/>
      <c r="E33" s="20"/>
      <c r="F33" s="20"/>
      <c r="G33" s="20"/>
    </row>
    <row r="34" ht="23" customHeight="1">
      <c r="A34" s="20" t="str">
        <v>ข้อสังเกตจากโค้ดยังไม่ใช่ผล Fail จริง ต้องทดสอบและบันทึกหลักฐานก่อนสรุป</v>
      </c>
      <c r="B34" s="20"/>
      <c r="C34" s="20"/>
      <c r="D34" s="20"/>
      <c r="E34" s="20"/>
      <c r="F34" s="20"/>
      <c r="G34" s="20"/>
    </row>
  </sheetData>
  <conditionalFormatting sqref="F11:F25">
    <cfRule type="containsText" dxfId="0" priority="1" operator="containsText" text="☑ ผ่าน"/>
    <cfRule type="containsText" dxfId="1" priority="2" operator="containsText" text="☒ ไม่ผ่าน"/>
    <cfRule type="containsText" dxfId="2" priority="3" operator="containsText" text="รอทดสอบ"/>
    <cfRule type="containsText" dxfId="3" priority="4" operator="containsText" text="ไม่เกี่ยวข้อง"/>
  </conditionalFormatting>
  <dataValidations count="1">
    <dataValidation type="list" sqref="F11:F25">
      <formula1>"☐ ยังไม่ทดสอบ,☑ ผ่าน,☒ ไม่ผ่าน,รอทดสอบ,ไม่เกี่ยวข้อง"</formula1>
    </dataValidation>
  </dataValidations>
  <printOptions horizontalCentered="1"/>
  <pageMargins left="0.25" right="0.25" top="0.35" bottom="0.35" header="0.15" footer="0.15"/>
  <pageSetup paperSize="8" orientation="landscape" fitToWidth="1" fitToHeight="0"/>
  <tableParts count="1">
    <tablePart xmlns:r="http://schemas.openxmlformats.org/officeDocument/2006/relationships" r:id="R019a2fbb139544ad"/>
  </tableParts>
</worksheet>
</file>

<file path=xl/worksheets/sheet2.xml><?xml version="1.0" encoding="utf-8"?>
<worksheet xmlns="http://schemas.openxmlformats.org/spreadsheetml/2006/main">
  <sheetPr>
    <tabColor rgb="FF354C83"/>
    <pageSetUpPr fitToPage="1"/>
  </sheetPr>
  <sheetViews>
    <sheetView showGridLines="0" workbookViewId="0" zoomScale="85">
      <pane xSplit="2" ySplit="10" topLeftCell="C11" activePane="bottomRight" state="frozen"/>
    </sheetView>
  </sheetViews>
  <sheetFormatPr defaultRowHeight="15"/>
  <cols>
    <col min="1" max="1" width="12" hidden="0" customWidth="1"/>
    <col min="2" max="2" width="25" hidden="0" customWidth="1"/>
    <col min="3" max="3" width="30" hidden="0" customWidth="1"/>
    <col min="4" max="4" width="46" hidden="0" customWidth="1"/>
    <col min="5" max="5" width="51" hidden="0" customWidth="1"/>
    <col min="6" max="6" width="21" hidden="0" customWidth="1"/>
    <col min="7" max="7" width="34" hidden="0" customWidth="1"/>
  </cols>
  <sheetData>
    <row r="1" ht="9" customHeight="1">
      <c r="A1" s="2"/>
      <c r="B1" s="2"/>
      <c r="C1" s="2"/>
      <c r="D1" s="2"/>
      <c r="E1" s="2"/>
      <c r="F1" s="2"/>
      <c r="G1" s="2"/>
    </row>
    <row r="2" ht="31" customHeight="1">
      <c r="A2" s="21" t="str">
        <v>Station 1 · Menu Mode 1</v>
      </c>
      <c r="B2" s="21"/>
      <c r="C2" s="21"/>
      <c r="D2" s="21"/>
      <c r="E2" s="21"/>
      <c r="F2" s="21"/>
      <c r="G2" s="21"/>
    </row>
    <row r="3" ht="23" customHeight="1">
      <c r="A3" s="22" t="str">
        <v>Compact Inkjet · Integration Test หน้างาน · อ้างอิงโค้ด 2e12b36 · จัดทำ 24/09/2026</v>
      </c>
      <c r="B3" s="22"/>
      <c r="C3" s="22"/>
      <c r="D3" s="22"/>
      <c r="E3" s="22"/>
      <c r="F3" s="22"/>
      <c r="G3" s="22"/>
    </row>
    <row r="4" ht="23" customHeight="1">
      <c r="A4" s="2" t="str">
        <v>ผู้ทดสอบ</v>
      </c>
      <c r="B4" s="5"/>
      <c r="C4" s="2" t="str">
        <v>วันที่ทดสอบ</v>
      </c>
      <c r="D4" s="6"/>
      <c r="E4" s="2" t="str">
        <v>เวอร์ชัน / เครื่อง / รอบทดสอบ</v>
      </c>
      <c r="F4" s="5"/>
      <c r="G4" s="5"/>
    </row>
    <row r="5" ht="23" customHeight="1">
      <c r="A5" s="2" t="str">
        <v>Flow: รับงานจาก Barcode → ตรวจ/แก้ข้อมูล → เริ่มและจองคิว → ส่ง MK / UV → ปล่อยเครื่อง → จบหรือส่งต่อให้ ST3</v>
      </c>
      <c r="B5" s="2"/>
      <c r="C5" s="2"/>
      <c r="D5" s="2"/>
      <c r="E5" s="2"/>
      <c r="F5" s="2"/>
      <c r="G5" s="2"/>
    </row>
    <row r="6" ht="23" customHeight="1">
      <c r="A6" s="2" t="str">
        <v>เตรียม: งาน Waiting ครบทุก Marking, MK ทั้งสองหัว, UV1/UV2, CPI/โปรแกรม UV, PLC และฐานข้อมูลชุดทดสอบ</v>
      </c>
      <c r="B6" s="2"/>
      <c r="C6" s="2"/>
      <c r="D6" s="2"/>
      <c r="E6" s="2"/>
      <c r="F6" s="2"/>
      <c r="G6" s="2"/>
    </row>
    <row r="7" ht="23" customHeight="1">
      <c r="A7" s="7" t="str">
        <v>วิธีใช้: เลือกผลช่อง F; ช่อง G จด Lot/Job, ผลจริง, เวลา/รูป/เลขปัญหา • ผลคาดหวังคือเกณฑ์ผ่าน ยังไม่ใช่ผลทดสอบแล้ว</v>
      </c>
      <c r="B7" s="7"/>
      <c r="C7" s="7"/>
      <c r="D7" s="7"/>
      <c r="E7" s="7"/>
      <c r="F7" s="7"/>
      <c r="G7" s="7"/>
    </row>
    <row r="8" ht="23" customHeight="1">
      <c r="A8" s="23" t="str">
        <f>"รวม "&amp;COUNTA(A11:A38)</f>
        <v>รวม 28</v>
      </c>
      <c r="B8" s="23" t="str">
        <f>"ผ่าน "&amp;COUNTIFS(F11:F38,"☑ ผ่าน")</f>
        <v>ผ่าน 0</v>
      </c>
      <c r="C8" s="23" t="str">
        <f>"ไม่ผ่าน "&amp;COUNTIFS(F11:F38,"☒ ไม่ผ่าน")</f>
        <v>ไม่ผ่าน 0</v>
      </c>
      <c r="D8" s="23" t="str">
        <f>"ยังไม่ทดสอบ "&amp;COUNTIFS(F11:F38,"☐ ยังไม่ทดสอบ")</f>
        <v>ยังไม่ทดสอบ 28</v>
      </c>
      <c r="E8" s="23" t="str">
        <f>"รอทดสอบ "&amp;COUNTIFS(F11:F38,"รอทดสอบ")</f>
        <v>รอทดสอบ 0</v>
      </c>
      <c r="F8" s="23" t="str">
        <f>"ไม่เกี่ยวข้อง "&amp;COUNTIFS(F11:F38,"ไม่เกี่ยวข้อง")</f>
        <v>ไม่เกี่ยวข้อง 0</v>
      </c>
      <c r="G8" s="2"/>
    </row>
    <row r="9" ht="23" customHeight="1">
      <c r="A9" s="2" t="str">
        <v>ทดสอบ Error/ตัดการเชื่อมต่อกับชุดทดสอบที่เตรียมไว้; ไม่มีอุปกรณ์หรือเงื่อนไขไม่พร้อมให้เลือก “รอทดสอบ” พร้อมเหตุผล</v>
      </c>
      <c r="B9" s="2"/>
      <c r="C9" s="2"/>
      <c r="D9" s="2"/>
      <c r="E9" s="2"/>
      <c r="F9" s="2"/>
      <c r="G9" s="2"/>
    </row>
    <row r="10" ht="30" customHeight="1">
      <c r="A10" s="26" t="str">
        <v>Test ID</v>
      </c>
      <c r="B10" s="26" t="str">
        <v>รายการทดสอบ</v>
      </c>
      <c r="C10" s="26" t="str">
        <v>เตรียมก่อนทดสอบ</v>
      </c>
      <c r="D10" s="26" t="str">
        <v>วิธีทดสอบ</v>
      </c>
      <c r="E10" s="26" t="str">
        <v>ผลที่คาดหวัง</v>
      </c>
      <c r="F10" s="26" t="str">
        <v>ผลทดสอบ</v>
      </c>
      <c r="G10" s="26" t="str">
        <v>ผลจริง / Lot / หลักฐาน</v>
      </c>
    </row>
    <row r="11" ht="64" customHeight="1">
      <c r="A11" s="12" t="str">
        <v>S1-01</v>
      </c>
      <c r="B11" s="12" t="str">
        <v>เมนูและรายการงาน</v>
      </c>
      <c r="C11" s="12" t="str">
        <v>ตั้ง MENU_LEVEL = 1; มีงานจาก Barcode</v>
      </c>
      <c r="D11" s="12" t="str">
        <v>เปิดโปรแกรมและตรวจเมนู / Order List / History</v>
      </c>
      <c r="E11" s="12" t="str">
        <v>เห็นเมนูตาม Mode 1; ไม่เห็น Scan; List ไม่แสดง 10/30; History ดูงานทุก Station ได้</v>
      </c>
      <c r="F11" s="18" t="str">
        <v>☐ ยังไม่ทดสอบ</v>
      </c>
      <c r="G11" s="17"/>
    </row>
    <row r="12" ht="64" customHeight="1">
      <c r="A12" s="16" t="str">
        <v>S1-02</v>
      </c>
      <c r="B12" s="16" t="str">
        <v>ข้อมูลจาก Barcode</v>
      </c>
      <c r="C12" s="16" t="str">
        <v>งานใหม่และ Job ID จาก B-09</v>
      </c>
      <c r="D12" s="16" t="str">
        <v>เปิดรายละเอียด เทียบ Lot, Qty, Pattern, UV และรูปอ้างอิง</v>
      </c>
      <c r="E12" s="16" t="str">
        <v>ข้อมูลตรงงานเดียวกัน; ไม่มีรูปหรือข้อความของงานก่อนค้าง</v>
      </c>
      <c r="F12" s="18" t="str">
        <v>☐ ยังไม่ทดสอบ</v>
      </c>
      <c r="G12" s="17"/>
    </row>
    <row r="13" ht="64" customHeight="1">
      <c r="A13" s="12" t="str">
        <v>S1-03</v>
      </c>
      <c r="B13" s="12" t="str">
        <v>เริ่ม MK ตาม Marking</v>
      </c>
      <c r="C13" s="12" t="str">
        <v>งาน 02 และ 20; MK ว่าง</v>
      </c>
      <c r="D13" s="12" t="str">
        <v>ตรวจข้อมูลแล้วเริ่มงานทีละรหัส</v>
      </c>
      <c r="E13" s="12" t="str">
        <v>จอง/ส่ง MK ตาม Pattern; ไม่ส่ง UV ที่ไม่อยู่ในแผน; บันทึก MK สำเร็จเมื่อรับครบ</v>
      </c>
      <c r="F13" s="18" t="str">
        <v>☐ ยังไม่ทดสอบ</v>
      </c>
      <c r="G13" s="17"/>
    </row>
    <row r="14" ht="64" customHeight="1">
      <c r="A14" s="16" t="str">
        <v>S1-04</v>
      </c>
      <c r="B14" s="16" t="str">
        <v>เริ่มงานที่ใช้ UV</v>
      </c>
      <c r="C14" s="16" t="str">
        <v>งาน 01, 11 และ 12; เครื่องว่าง</v>
      </c>
      <c r="D14" s="16" t="str">
        <v>เริ่มงานทีละรหัสและตรวจคิว/คำสั่งปลายทาง</v>
      </c>
      <c r="E14" s="16" t="str">
        <v>01 ใช้ UV1; 11 ใช้ UV1+UV2; 12 ใช้ MK+UV2; ทุกเครื่องที่ว่างอาจรับข้อมูลตั้งแต่เริ่ม</v>
      </c>
      <c r="F14" s="18" t="str">
        <v>☐ ยังไม่ทดสอบ</v>
      </c>
      <c r="G14" s="17"/>
    </row>
    <row r="15" ht="64" customHeight="1">
      <c r="A15" s="12" t="str">
        <v>S1-05</v>
      </c>
      <c r="B15" s="12" t="str">
        <v>รหัสเทียบเท่าและงานมือ</v>
      </c>
      <c r="C15" s="12" t="str">
        <v>งาน 03, 13, 31, 32, 33, 00 และ 21</v>
      </c>
      <c r="D15" s="12" t="str">
        <v>เทียบแผนกับ 01, 11, 12; ลองเริ่ม 00 และ 21</v>
      </c>
      <c r="E15" s="12" t="str">
        <v>เลข 3 ทำเหมือน 1; 00 เริ่มโดยไม่ส่งเครื่อง; 21 เริ่มไม่ได้</v>
      </c>
      <c r="F15" s="18" t="str">
        <v>☐ ยังไม่ทดสอบ</v>
      </c>
      <c r="G15" s="17"/>
    </row>
    <row r="16" ht="64" customHeight="1">
      <c r="A16" s="16" t="str">
        <v>S1-06</v>
      </c>
      <c r="B16" s="16" t="str">
        <v>ยกเลิกก่อนเริ่ม</v>
      </c>
      <c r="C16" s="16" t="str">
        <v>งาน Waiting ที่ยังไม่เคยส่ง</v>
      </c>
      <c r="D16" s="16" t="str">
        <v>กดเริ่ม แล้วกดยกเลิกในกล่องยืนยัน</v>
      </c>
      <c r="E16" s="16" t="str">
        <v>ไม่จองคิว ไม่เปลี่ยนโปรแกรมเครื่อง และงานยังรอเริ่ม</v>
      </c>
      <c r="F16" s="18" t="str">
        <v>☐ ยังไม่ทดสอบ</v>
      </c>
      <c r="G16" s="17"/>
    </row>
    <row r="17" ht="64" customHeight="1">
      <c r="A17" s="12" t="str">
        <v>S1-07</v>
      </c>
      <c r="B17" s="12" t="str">
        <v>แก้ข้อความ / SWAP / ABC</v>
      </c>
      <c r="C17" s="12" t="str">
        <v>งาน MK ที่ยังไม่เริ่ม</v>
      </c>
      <c r="D17" s="12" t="str">
        <v>แก้ข้อความและบันทึก; SWAP; เปลี่ยน ABC; เปิดรายละเอียดใหม่แล้วส่ง</v>
      </c>
      <c r="E17" s="12" t="str">
        <v>ค่าที่บันทึกยังอยู่; ส่งถูกหัวและทิศทางตรงที่เลือก</v>
      </c>
      <c r="F17" s="18" t="str">
        <v>☐ ยังไม่ทดสอบ</v>
      </c>
      <c r="G17" s="17"/>
    </row>
    <row r="18" ht="64" customHeight="1">
      <c r="A18" s="16" t="str">
        <v>S1-08</v>
      </c>
      <c r="B18" s="16" t="str">
        <v>ข้อความ MK ครบทุกช่อง</v>
      </c>
      <c r="C18" s="16" t="str">
        <v>งาน A ใช้ 5 ช่อง; งาน B ใช้ 1 ช่อง</v>
      </c>
      <c r="D18" s="16" t="str">
        <v>ส่ง A แล้วส่ง B ตามคิว; ตรวจข้อความในเครื่องและชิ้นงาน</v>
      </c>
      <c r="E18" s="16" t="str">
        <v>Block 1–5 ลงช่องเครื่อง 6–10; ช่องที่ B ไม่ใช้ไม่เหลือข้อความของ A</v>
      </c>
      <c r="F18" s="18" t="str">
        <v>☐ ยังไม่ทดสอบ</v>
      </c>
      <c r="G18" s="17"/>
    </row>
    <row r="19" ht="64" customHeight="1">
      <c r="A19" s="12" t="str">
        <v>S1-09</v>
      </c>
      <c r="B19" s="12" t="str">
        <v>MK หัวเดียว / สองหัว</v>
      </c>
      <c r="C19" s="12" t="str">
        <v>Pattern ใช้หัวเดียว และใช้สองหัว</v>
      </c>
      <c r="D19" s="12" t="str">
        <v>ส่งแต่ละแบบ; ปิดหัวที่ไม่ได้ใช้งานอีกครั้ง</v>
      </c>
      <c r="E19" s="12" t="str">
        <v>หัวที่ใช้รับข้อมูลครบ; หัวไม่ใช้ถูกสั่งหยุด; หยุดหัวไม่ใช้ไม่ได้ต้องมีคำเตือน</v>
      </c>
      <c r="F19" s="18" t="str">
        <v>☐ ยังไม่ทดสอบ</v>
      </c>
      <c r="G19" s="17"/>
    </row>
    <row r="20" ht="64" customHeight="1">
      <c r="A20" s="16" t="str">
        <v>S1-10</v>
      </c>
      <c r="B20" s="16" t="str">
        <v>ค่าพิมพ์ MK เกินช่วง</v>
      </c>
      <c r="C20" s="16" t="str">
        <v>สำเนางานสำหรับลองค่า เช่น Scale = 0</v>
      </c>
      <c r="D20" s="16" t="str">
        <v>ลองบันทึก/ส่งค่าผิด แล้วแก้กลับค่าที่เครื่องรับได้</v>
      </c>
      <c r="E20" s="16" t="str">
        <v>แจ้งค่าที่ผิดก่อนส่งหัวนั้น; หลังแก้ส่งได้และข้อมูลบนเครื่องตรงงาน</v>
      </c>
      <c r="F20" s="18" t="str">
        <v>☐ ยังไม่ทดสอบ</v>
      </c>
      <c r="G20" s="17"/>
    </row>
    <row r="21" ht="64" customHeight="1">
      <c r="A21" s="12" t="str">
        <v>S1-11</v>
      </c>
      <c r="B21" s="12" t="str">
        <v>MK ขัดข้องบางหัว</v>
      </c>
      <c r="C21" s="12" t="str">
        <v>งานใช้สองหัว; ปิดหรือตัดสายหนึ่งหัว</v>
      </c>
      <c r="D21" s="12" t="str">
        <v>ส่งงาน ตรวจผลแยกหัว; ต่อกลับแล้วลองใหม่</v>
      </c>
      <c r="E21" s="12" t="str">
        <v>ไม่บันทึก MK ครบเมื่อหัวจำเป็นล้มเหลว; ตรวจว่าหัวที่ผ่านแล้วไม่พิมพ์ซ้ำ</v>
      </c>
      <c r="F21" s="18" t="str">
        <v>☐ ยังไม่ทดสอบ</v>
      </c>
      <c r="G21" s="17"/>
    </row>
    <row r="22" ht="64" customHeight="1">
      <c r="A22" s="16" t="str">
        <v>S1-12</v>
      </c>
      <c r="B22" s="16" t="str">
        <v>เลือกโปรแกรม UV</v>
      </c>
      <c r="C22" s="16" t="str">
        <v>มีไฟล์ตรงชื่อ / หลายรุ่น / ไม่พบ / ชื่อมีจุด</v>
      </c>
      <c r="D22" s="16" t="str">
        <v>ทดสอบทีละแบบ; เลือกรุ่นหรือยกเลิก; ลองยืนยัน default</v>
      </c>
      <c r="E22" s="16" t="str">
        <v>โหลดรุ่นที่เลือก; ชื่อไม่ถูกตัดผิด; default ต้องยืนยัน; ยกเลิกไม่ส่ง</v>
      </c>
      <c r="F22" s="18" t="str">
        <v>☐ ยังไม่ทดสอบ</v>
      </c>
      <c r="G22" s="17"/>
    </row>
    <row r="23" ht="64" customHeight="1">
      <c r="A23" s="12" t="str">
        <v>S1-13</v>
      </c>
      <c r="B23" s="12" t="str">
        <v>ข้อมูล UV1 / UV2</v>
      </c>
      <c r="C23" s="12" t="str">
        <v>งานมี Lot และข้อความ 1–5 ต่างกันชัดเจน</v>
      </c>
      <c r="D23" s="12" t="str">
        <v>ส่ง UV1 และ UV2; ตรวจ CPI และโปรแกรมบนเครื่อง</v>
      </c>
      <c r="E23" s="12" t="str">
        <v>UV1 เขียน MK063; UV2 เขียน MK067 ที่ id=1; ข้อความและโปรแกรมไม่สลับฝั่ง</v>
      </c>
      <c r="F23" s="18" t="str">
        <v>☐ ยังไม่ทดสอบ</v>
      </c>
      <c r="G23" s="17"/>
    </row>
    <row r="24" ht="64" customHeight="1">
      <c r="A24" s="16" t="str">
        <v>S1-14</v>
      </c>
      <c r="B24" s="16" t="str">
        <v>CPI เขียนไม่ได้</v>
      </c>
      <c r="C24" s="16" t="str">
        <v>สำเนา CPI: อ่านอย่างเดียว / ล็อก / ขาดคอลัมน์ / ไม่มี id=1</v>
      </c>
      <c r="D24" s="16" t="str">
        <v>ทดสอบแต่ละกรณีแล้วคืนไฟล์ปกติ</v>
      </c>
      <c r="E24" s="16" t="str">
        <v>แจ้งจุดผิด; ไม่โหลดและเริ่ม UV ต่อเมื่อเขียนข้อมูลล้มเหลว</v>
      </c>
      <c r="F24" s="18" t="str">
        <v>☐ ยังไม่ทดสอบ</v>
      </c>
      <c r="G24" s="17"/>
    </row>
    <row r="25" ht="64" customHeight="1">
      <c r="A25" s="12" t="str">
        <v>S1-15</v>
      </c>
      <c r="B25" s="12" t="str">
        <v>UV ไม่ตอบแต่ละขั้น</v>
      </c>
      <c r="C25" s="12" t="str">
        <v>ปลายทางทดสอบจำลอง Stop / Load / Start ไม่ตอบ</v>
      </c>
      <c r="D25" s="12" t="str">
        <v>จำลองทีละคำสั่ง แล้วตรวจหน้าจอและประวัติ</v>
      </c>
      <c r="E25" s="12" t="str">
        <v>Load ล้มเหลวไม่สั่ง Start; ต้องไม่สรุปว่าพิมพ์จริงสำเร็จเมื่อ Start ไม่ตอบ</v>
      </c>
      <c r="F25" s="18" t="str">
        <v>☐ ยังไม่ทดสอบ</v>
      </c>
      <c r="G25" s="17"/>
    </row>
    <row r="26" ht="64" customHeight="1">
      <c r="A26" s="16" t="str">
        <v>S1-16</v>
      </c>
      <c r="B26" s="16" t="str">
        <v>คิวรอไม่ทับงานเดิม</v>
      </c>
      <c r="C26" s="16" t="str">
        <v>A ถือ MK; B รอ MK และยังไม่เคยส่ง</v>
      </c>
      <c r="D26" s="16" t="str">
        <v>เริ่ม B แล้วตรวจคิว; กดปล่อย A หนึ่งครั้ง</v>
      </c>
      <c r="E26" s="16" t="str">
        <v>B อยู่รอและไม่เปลี่ยนโปรแกรมทับ A; ปล่อยแล้วส่ง B ครั้งเดียว</v>
      </c>
      <c r="F26" s="18" t="str">
        <v>☐ ยังไม่ทดสอบ</v>
      </c>
      <c r="G26" s="17"/>
    </row>
    <row r="27" ht="64" customHeight="1">
      <c r="A27" s="12" t="str">
        <v>S1-17</v>
      </c>
      <c r="B27" s="12" t="str">
        <v>คิวงานหลายเครื่อง</v>
      </c>
      <c r="C27" s="12" t="str">
        <v>A ถือ UV2; B เป็น 12 และ MK ว่าง</v>
      </c>
      <c r="D27" s="12" t="str">
        <v>เริ่ม B; ตรวจ MK และ UV2; ปล่อย UV2</v>
      </c>
      <c r="E27" s="12" t="str">
        <v>MK รับ B ได้; UV2 ของ B ยังรอ; หลังปล่อยจึงส่ง UV2 โดยไม่ส่ง MK ซ้ำ</v>
      </c>
      <c r="F27" s="18" t="str">
        <v>☐ ยังไม่ทดสอบ</v>
      </c>
      <c r="G27" s="17"/>
    </row>
    <row r="28" ht="64" customHeight="1">
      <c r="A28" s="16" t="str">
        <v>S1-18</v>
      </c>
      <c r="B28" s="16" t="str">
        <v>งาน 22 ถือเครื่องรอบสอง</v>
      </c>
      <c r="C28" s="16" t="str">
        <v>ตั้งถือเครื่องรอบสอง; A = 22; B รอ MK</v>
      </c>
      <c r="D28" s="16" t="str">
        <v>ส่ง A รอบแรก; กดปล่อย แล้วตรวจรอบสองของ A</v>
      </c>
      <c r="E28" s="16" t="str">
        <v>A ได้ MK ต่อสำหรับรอบสอง; B ยังรอ; ครบต้องมี MK สำเร็จสองครั้ง</v>
      </c>
      <c r="F28" s="18" t="str">
        <v>☐ ยังไม่ทดสอบ</v>
      </c>
      <c r="G28" s="17"/>
    </row>
    <row r="29" ht="64" customHeight="1">
      <c r="A29" s="12" t="str">
        <v>S1-19</v>
      </c>
      <c r="B29" s="12" t="str">
        <v>งาน 22 ปล่อยให้คิวอื่น</v>
      </c>
      <c r="C29" s="12" t="str">
        <v>ตั้งไม่ถือเครื่องรอบสอง; A = 22; B รอ MK</v>
      </c>
      <c r="D29" s="12" t="str">
        <v>จบ A รอบแรกและกดปล่อย; จากนั้นปล่อย B</v>
      </c>
      <c r="E29" s="12" t="str">
        <v>B ได้เครื่องก่อน; A รอบสองไปท้ายคิวและกลับมาส่งได้</v>
      </c>
      <c r="F29" s="18" t="str">
        <v>☐ ยังไม่ทดสอบ</v>
      </c>
      <c r="G29" s="17"/>
    </row>
    <row r="30" ht="64" customHeight="1">
      <c r="A30" s="16" t="str">
        <v>S1-20</v>
      </c>
      <c r="B30" s="16" t="str">
        <v>ปุ่มกดค้าง / PLC หลุด</v>
      </c>
      <c r="C30" s="16" t="str">
        <v>ตั้งปุ่ม MK พร้อม; มีคิวรอ</v>
      </c>
      <c r="D30" s="16" t="str">
        <v>กดค้าง; เปิดโปรแกรมขณะบิต 1; ตัดต่อ PLC แล้วกดใหม่</v>
      </c>
      <c r="E30" s="16" t="str">
        <v>หนึ่งขอบ 0→1 ปล่อยครั้งเดียว; ไม่ถือบิตค้างเป็นการกดใหม่; แจ้งและฟื้นการเชื่อมต่อ</v>
      </c>
      <c r="F30" s="18" t="str">
        <v>☐ ยังไม่ทดสอบ</v>
      </c>
      <c r="G30" s="17"/>
    </row>
    <row r="31" ht="64" customHeight="1">
      <c r="A31" s="12" t="str">
        <v>S1-21</v>
      </c>
      <c r="B31" s="12" t="str">
        <v>ปล่อยคิว UV1</v>
      </c>
      <c r="C31" s="12" t="str">
        <v>มี A ถือ UV1 และ B รอ</v>
      </c>
      <c r="D31" s="12" t="str">
        <v>ทดสอบช่องทางปุ่มจริงที่หน้างานใช้ปล่อย UV1</v>
      </c>
      <c r="E31" s="12" t="str">
        <v>ต้องปล่อย A และส่ง B ได้จริง; ถ้ายังไม่มีช่องทางให้เลือก รอทดสอบ และระบุเหตุผล</v>
      </c>
      <c r="F31" s="18" t="str">
        <v>☐ ยังไม่ทดสอบ</v>
      </c>
      <c r="G31" s="17"/>
    </row>
    <row r="32" ht="64" customHeight="1">
      <c r="A32" s="16" t="str">
        <v>S1-22</v>
      </c>
      <c r="B32" s="16" t="str">
        <v>PLC MK และคืนตำแหน่ง</v>
      </c>
      <c r="C32" s="16" t="str">
        <v>Register Map ถูกต้อง; ใช้หน้าตั้งค่า PLC MK</v>
      </c>
      <c r="D32" s="16" t="str">
        <v>Write/Read ค่าในชุดทดสอบ; ปล่อย MK ขณะไม่มีคิว</v>
      </c>
      <c r="E32" s="16" t="str">
        <v>ค่าที่อ่านตรงค่าที่เขียน; ตอนคิวว่างตำแหน่งหัวกลับ 0 ตาม Map</v>
      </c>
      <c r="F32" s="18" t="str">
        <v>☐ ยังไม่ทดสอบ</v>
      </c>
      <c r="G32" s="17"/>
    </row>
    <row r="33" ht="64" customHeight="1">
      <c r="A33" s="12" t="str">
        <v>S1-23</v>
      </c>
      <c r="B33" s="12" t="str">
        <v>IAI ทุกแกนที่ใช้งาน</v>
      </c>
      <c r="C33" s="12" t="str">
        <v>งาน Process; ตั้ง Target/Run ของ Plate และ Shim</v>
      </c>
      <c r="D33" s="12" t="str">
        <v>Send ทีละแกน X/Z1/Z2; ลอง Address ขาดและ PLC หลุด</v>
      </c>
      <c r="E33" s="12" t="str">
        <v>เขียน/Pulse ถูกแกน; ตำแหน่งจริงตรง; ค่าตั้งไม่ครบไม่ส่ง; แจ้งเชื่อมต่อผิดพลาด</v>
      </c>
      <c r="F33" s="18" t="str">
        <v>☐ ยังไม่ทดสอบ</v>
      </c>
      <c r="G33" s="17"/>
    </row>
    <row r="34" ht="64" customHeight="1">
      <c r="A34" s="16" t="str">
        <v>S1-24</v>
      </c>
      <c r="B34" s="16" t="str">
        <v>Upload IAI ได้บางส่วน</v>
      </c>
      <c r="C34" s="16" t="str">
        <v>สำเนา mydatabase และ Backend</v>
      </c>
      <c r="D34" s="16" t="str">
        <v>Upload แล้วเปิดใหม่; ทำให้ฐานข้อมูลข้างหนึ่งเขียนไม่ได้</v>
      </c>
      <c r="E34" s="16" t="str">
        <v>ค่าที่บันทึกตรงทั้งสองฝั่ง; ถ้าได้ข้างเดียวต้องแจ้งว่าไม่ครบ</v>
      </c>
      <c r="F34" s="18" t="str">
        <v>☐ ยังไม่ทดสอบ</v>
      </c>
      <c r="G34" s="17"/>
    </row>
    <row r="35" ht="64" customHeight="1">
      <c r="A35" s="12" t="str">
        <v>S1-25</v>
      </c>
      <c r="B35" s="12" t="str">
        <v>เครื่องรับแล้ว Backend หลุด</v>
      </c>
      <c r="C35" s="12" t="str">
        <v>ผู้ดูแลจำลองการขาดช่วงหลังส่งสำเร็จ</v>
      </c>
      <c r="D35" s="12" t="str">
        <v>ตัด API ก่อนบันทึกประวัติ/เวลาส่งคิว; ต่อกลับและเปิดโปรแกรมใหม่</v>
      </c>
      <c r="E35" s="12" t="str">
        <v>เห็นความไม่ตรงกัน; ไม่ส่งงานเดิมซ้ำเอง; จดคำสั่งและเวลาที่เกิดจริง</v>
      </c>
      <c r="F35" s="18" t="str">
        <v>☐ ยังไม่ทดสอบ</v>
      </c>
      <c r="G35" s="17"/>
    </row>
    <row r="36" ht="64" customHeight="1">
      <c r="A36" s="16" t="str">
        <v>S1-26</v>
      </c>
      <c r="B36" s="16" t="str">
        <v>จบ / ยกเลิก / พิมพ์ใหม่</v>
      </c>
      <c r="C36" s="16" t="str">
        <v>งาน MK สำเร็จหนึ่งงาน และงานรออีกหนึ่งงาน</v>
      </c>
      <c r="D36" s="16" t="str">
        <v>จบงานแรก ยกเลิกงานที่สอง; นำกลับจาก History และเริ่มใหม่</v>
      </c>
      <c r="E36" s="16" t="str">
        <v>Success/Cancel ถูกต้อง; ไม่มีคิวเก่ากันเครื่อง; พิมพ์ใหม่ไม่ถูกนับครบจากประวัติเดิม</v>
      </c>
      <c r="F36" s="18" t="str">
        <v>☐ ยังไม่ทดสอบ</v>
      </c>
      <c r="G36" s="17"/>
    </row>
    <row r="37" ht="64" customHeight="1">
      <c r="A37" s="12" t="str">
        <v>S1-27</v>
      </c>
      <c r="B37" s="12" t="str">
        <v>ประวัติและสิทธิ์จบงาน</v>
      </c>
      <c r="C37" s="12" t="str">
        <v>งาน 11/12 และงานที่ ST3 จบแล้ว</v>
      </c>
      <c r="D37" s="12" t="str">
        <v>ลองจบ 11/12 ที่ ST1; ตรวจ History และกรองวันไทย</v>
      </c>
      <c r="E37" s="12" t="str">
        <v>ST1 จบงานกลุ่มนี้ไม่ได้; ประวัติจบที่ ST3 แสดงถูกวันและระบุงานที่ส่งไม่ครบ</v>
      </c>
      <c r="F37" s="18" t="str">
        <v>☐ ยังไม่ทดสอบ</v>
      </c>
      <c r="G37" s="17"/>
    </row>
    <row r="38" ht="64" customHeight="1">
      <c r="A38" s="16" t="str">
        <v>S1-28</v>
      </c>
      <c r="B38" s="16" t="str">
        <v>รับคำขอ / การส่งชนกัน</v>
      </c>
      <c r="C38" s="16" t="str">
        <v>ST1 และ ST3 ใช้ Backend เดียวกัน</v>
      </c>
      <c r="D38" s="16" t="str">
        <v>ให้ ST3 ฝากคำขอ; เริ่ม/ปล่อยคิวใกล้กันจากสองจอ</v>
      </c>
      <c r="E38" s="16" t="str">
        <v>งานและโปรแกรมตรงคำขอ; เครื่องเดียวไม่ถูกรับงานทับหรือส่งซ้ำ</v>
      </c>
      <c r="F38" s="18" t="str">
        <v>☐ ยังไม่ทดสอบ</v>
      </c>
      <c r="G38" s="17"/>
    </row>
    <row r="39" ht="23" customHeight="1">
      <c r="A39" s="2"/>
      <c r="B39" s="2"/>
      <c r="C39" s="2"/>
      <c r="D39" s="2"/>
      <c r="E39" s="2"/>
      <c r="F39" s="2"/>
      <c r="G39" s="2"/>
    </row>
    <row r="40" ht="23" customHeight="1">
      <c r="A40" s="2"/>
      <c r="B40" s="2"/>
      <c r="C40" s="2"/>
      <c r="D40" s="2"/>
      <c r="E40" s="2"/>
      <c r="F40" s="2"/>
      <c r="G40" s="2"/>
    </row>
    <row r="41" ht="23" customHeight="1">
      <c r="A41" s="19" t="str">
        <v>จุดเสี่ยงที่ควรตรวจ</v>
      </c>
      <c r="B41" s="19"/>
      <c r="C41" s="19"/>
      <c r="D41" s="19"/>
      <c r="E41" s="19"/>
      <c r="F41" s="19"/>
      <c r="G41" s="19"/>
    </row>
    <row r="42" ht="23" customHeight="1">
      <c r="A42" s="2" t="str">
        <v>S1-16: ถ้าทุกเครื่องไม่ว่างและงานยังไม่เคยส่ง โค้ดอาจล้างคิวที่เพิ่งจองไว้</v>
      </c>
      <c r="B42" s="2"/>
      <c r="C42" s="2"/>
      <c r="D42" s="2"/>
      <c r="E42" s="2"/>
      <c r="F42" s="2"/>
      <c r="G42" s="2"/>
    </row>
    <row r="43" ht="23" customHeight="1">
      <c r="A43" s="2" t="str">
        <v>S1-11 / 25: ส่งได้บางหัว หรือเครื่องรับแล้วบันทึกคิวไม่ลง มีโอกาสส่งซ้ำ</v>
      </c>
      <c r="B43" s="2"/>
      <c r="C43" s="2"/>
      <c r="D43" s="2"/>
      <c r="E43" s="2"/>
      <c r="F43" s="2"/>
      <c r="G43" s="2"/>
    </row>
    <row r="44" ht="23" customHeight="1">
      <c r="A44" s="2" t="str">
        <v>S1-15: UV Stop ไม่ตอบยังทำต่อ และ Start ไม่ตอบยังคืนผลสำเร็จ ต้องเทียบกับเครื่องจริง</v>
      </c>
      <c r="B44" s="2"/>
      <c r="C44" s="2"/>
      <c r="D44" s="2"/>
      <c r="E44" s="2"/>
      <c r="F44" s="2"/>
      <c r="G44" s="2"/>
    </row>
    <row r="45" ht="23" customHeight="1">
      <c r="A45" s="2" t="str">
        <v>S1-21: ยังไม่พบตัวเฝ้าปุ่มจริงของ UV1 ในโปรแกรม ต้องยืนยันช่องทางปล่อยคิวหน้างาน</v>
      </c>
      <c r="B45" s="2"/>
      <c r="C45" s="2"/>
      <c r="D45" s="2"/>
      <c r="E45" s="2"/>
      <c r="F45" s="2"/>
      <c r="G45" s="2"/>
    </row>
    <row r="46" ht="23" customHeight="1">
      <c r="A46" s="2" t="str">
        <v>S1-22 / 23: เริ่มงานไม่ได้ส่ง Servo/Conveyor หรือ IAI อัตโนมัติ; IAI อ่าน Status ไม่ได้ยังอาจแจ้งสำเร็จ</v>
      </c>
      <c r="B46" s="2"/>
      <c r="C46" s="2"/>
      <c r="D46" s="2"/>
      <c r="E46" s="2"/>
      <c r="F46" s="2"/>
      <c r="G46" s="2"/>
    </row>
    <row r="47" ht="23" customHeight="1">
      <c r="A47" s="2" t="str">
        <v>S1-26: Restore ไม่พบการล้างประวัติคำสั่งเดิม; สูตรแคลมป์ Z ยังต้องยืนยันกับอุปกรณ์จริง</v>
      </c>
      <c r="B47" s="2"/>
      <c r="C47" s="2"/>
      <c r="D47" s="2"/>
      <c r="E47" s="2"/>
      <c r="F47" s="2"/>
      <c r="G47" s="2"/>
    </row>
    <row r="48" ht="23" customHeight="1">
      <c r="A48" s="2"/>
      <c r="B48" s="2"/>
      <c r="C48" s="2"/>
      <c r="D48" s="2"/>
      <c r="E48" s="2"/>
      <c r="F48" s="2"/>
      <c r="G48" s="2"/>
    </row>
    <row r="49" ht="23" customHeight="1">
      <c r="A49" s="20" t="str">
        <v>อ้างอิงโค้ด 2e12b36: OrderList/OrderDetail, JobSendService, UvTcpService, ClampService, MachineQueueController</v>
      </c>
      <c r="B49" s="20"/>
      <c r="C49" s="20"/>
      <c r="D49" s="20"/>
      <c r="E49" s="20"/>
      <c r="F49" s="20"/>
      <c r="G49" s="20"/>
    </row>
    <row r="50" ht="23" customHeight="1">
      <c r="A50" s="20" t="str">
        <v>ข้อสังเกตจากโค้ดยังไม่ใช่ผล Fail จริง ต้องทดสอบและบันทึกหลักฐานก่อนสรุป</v>
      </c>
      <c r="B50" s="20"/>
      <c r="C50" s="20"/>
      <c r="D50" s="20"/>
      <c r="E50" s="20"/>
      <c r="F50" s="20"/>
      <c r="G50" s="20"/>
    </row>
  </sheetData>
  <conditionalFormatting sqref="F11:F38">
    <cfRule type="containsText" dxfId="4" priority="1" operator="containsText" text="☑ ผ่าน"/>
    <cfRule type="containsText" dxfId="5" priority="2" operator="containsText" text="☒ ไม่ผ่าน"/>
    <cfRule type="containsText" dxfId="6" priority="3" operator="containsText" text="รอทดสอบ"/>
    <cfRule type="containsText" dxfId="7" priority="4" operator="containsText" text="ไม่เกี่ยวข้อง"/>
  </conditionalFormatting>
  <dataValidations count="1">
    <dataValidation type="list" sqref="F11:F38">
      <formula1>"☐ ยังไม่ทดสอบ,☑ ผ่าน,☒ ไม่ผ่าน,รอทดสอบ,ไม่เกี่ยวข้อง"</formula1>
    </dataValidation>
  </dataValidations>
  <printOptions horizontalCentered="1"/>
  <pageMargins left="0.25" right="0.25" top="0.35" bottom="0.35" header="0.15" footer="0.15"/>
  <pageSetup paperSize="8" orientation="landscape" fitToWidth="1" fitToHeight="0"/>
  <tableParts count="1">
    <tablePart xmlns:r="http://schemas.openxmlformats.org/officeDocument/2006/relationships" r:id="R37fc8aa082bc48f9"/>
  </tableParts>
</worksheet>
</file>

<file path=xl/worksheets/sheet3.xml><?xml version="1.0" encoding="utf-8"?>
<worksheet xmlns="http://schemas.openxmlformats.org/spreadsheetml/2006/main">
  <sheetPr>
    <tabColor rgb="FF655080"/>
    <pageSetUpPr fitToPage="1"/>
  </sheetPr>
  <sheetViews>
    <sheetView showGridLines="0" workbookViewId="0" zoomScale="85">
      <pane xSplit="2" ySplit="10" topLeftCell="C11" activePane="bottomRight" state="frozen"/>
    </sheetView>
  </sheetViews>
  <sheetFormatPr defaultRowHeight="15"/>
  <cols>
    <col min="1" max="1" width="12" hidden="0" customWidth="1"/>
    <col min="2" max="2" width="25" hidden="0" customWidth="1"/>
    <col min="3" max="3" width="30" hidden="0" customWidth="1"/>
    <col min="4" max="4" width="46" hidden="0" customWidth="1"/>
    <col min="5" max="5" width="51" hidden="0" customWidth="1"/>
    <col min="6" max="6" width="21" hidden="0" customWidth="1"/>
    <col min="7" max="7" width="34" hidden="0" customWidth="1"/>
  </cols>
  <sheetData>
    <row r="1" ht="9" customHeight="1">
      <c r="A1" s="2"/>
      <c r="B1" s="2"/>
      <c r="C1" s="2"/>
      <c r="D1" s="2"/>
      <c r="E1" s="2"/>
      <c r="F1" s="2"/>
      <c r="G1" s="2"/>
    </row>
    <row r="2" ht="31" customHeight="1">
      <c r="A2" s="27" t="str">
        <v>Station 3 · Menu Mode 3</v>
      </c>
      <c r="B2" s="27"/>
      <c r="C2" s="27"/>
      <c r="D2" s="27"/>
      <c r="E2" s="27"/>
      <c r="F2" s="27"/>
      <c r="G2" s="27"/>
    </row>
    <row r="3" ht="23" customHeight="1">
      <c r="A3" s="28" t="str">
        <v>Compact Inkjet · Integration Test หน้างาน · อ้างอิงโค้ด 2e12b36 · จัดทำ 24/09/2026</v>
      </c>
      <c r="B3" s="28"/>
      <c r="C3" s="28"/>
      <c r="D3" s="28"/>
      <c r="E3" s="28"/>
      <c r="F3" s="28"/>
      <c r="G3" s="28"/>
    </row>
    <row r="4" ht="23" customHeight="1">
      <c r="A4" s="2" t="str">
        <v>ผู้ทดสอบ</v>
      </c>
      <c r="B4" s="5"/>
      <c r="C4" s="2" t="str">
        <v>วันที่ทดสอบ</v>
      </c>
      <c r="D4" s="6"/>
      <c r="E4" s="2" t="str">
        <v>เวอร์ชัน / เครื่อง / รอบทดสอบ</v>
      </c>
      <c r="F4" s="5"/>
      <c r="G4" s="5"/>
    </row>
    <row r="5" ht="23" customHeight="1">
      <c r="A5" s="2" t="str">
        <v>Flow: รับรายการจาก Backend → เริ่มงานที่มีสิทธิ์ / รับงานต่อ → ให้ ST1 ส่ง UV2 → ปล่อยคิว → ยืนยันจบงาน</v>
      </c>
      <c r="B5" s="2"/>
      <c r="C5" s="2"/>
      <c r="D5" s="2"/>
      <c r="E5" s="2"/>
      <c r="F5" s="2"/>
      <c r="G5" s="2"/>
    </row>
    <row r="6" ht="23" customHeight="1">
      <c r="A6" s="2" t="str">
        <v>เตรียม: ST1 และ ST3 ใช้ Backend เดียวกัน, งาน 10/11/12 และรหัสเทียบเท่า, ปุ่ม UV2 และโปรแกรมอ้างอิงพร้อม</v>
      </c>
      <c r="B6" s="2"/>
      <c r="C6" s="2"/>
      <c r="D6" s="2"/>
      <c r="E6" s="2"/>
      <c r="F6" s="2"/>
      <c r="G6" s="2"/>
    </row>
    <row r="7" ht="23" customHeight="1">
      <c r="A7" s="7" t="str">
        <v>วิธีใช้: เลือกผลช่อง F; ช่อง G จด Lot/Job, ผลจริง, เวลา/รูป/เลขปัญหา • ผลคาดหวังคือเกณฑ์ผ่าน ยังไม่ใช่ผลทดสอบแล้ว</v>
      </c>
      <c r="B7" s="7"/>
      <c r="C7" s="7"/>
      <c r="D7" s="7"/>
      <c r="E7" s="7"/>
      <c r="F7" s="7"/>
      <c r="G7" s="7"/>
    </row>
    <row r="8" ht="23" customHeight="1">
      <c r="A8" s="29" t="str">
        <f>"รวม "&amp;COUNTA(A11:A28)</f>
        <v>รวม 18</v>
      </c>
      <c r="B8" s="29" t="str">
        <f>"ผ่าน "&amp;COUNTIFS(F11:F28,"☑ ผ่าน")</f>
        <v>ผ่าน 0</v>
      </c>
      <c r="C8" s="29" t="str">
        <f>"ไม่ผ่าน "&amp;COUNTIFS(F11:F28,"☒ ไม่ผ่าน")</f>
        <v>ไม่ผ่าน 0</v>
      </c>
      <c r="D8" s="29" t="str">
        <f>"ยังไม่ทดสอบ "&amp;COUNTIFS(F11:F28,"☐ ยังไม่ทดสอบ")</f>
        <v>ยังไม่ทดสอบ 18</v>
      </c>
      <c r="E8" s="29" t="str">
        <f>"รอทดสอบ "&amp;COUNTIFS(F11:F28,"รอทดสอบ")</f>
        <v>รอทดสอบ 0</v>
      </c>
      <c r="F8" s="29" t="str">
        <f>"ไม่เกี่ยวข้อง "&amp;COUNTIFS(F11:F28,"ไม่เกี่ยวข้อง")</f>
        <v>ไม่เกี่ยวข้อง 0</v>
      </c>
      <c r="G8" s="2"/>
    </row>
    <row r="9" ht="23" customHeight="1">
      <c r="A9" s="2" t="str">
        <v>ทดสอบ Error/ตัดการเชื่อมต่อกับชุดทดสอบที่เตรียมไว้; ไม่มีอุปกรณ์หรือเงื่อนไขไม่พร้อมให้เลือก “รอทดสอบ” พร้อมเหตุผล</v>
      </c>
      <c r="B9" s="2"/>
      <c r="C9" s="2"/>
      <c r="D9" s="2"/>
      <c r="E9" s="2"/>
      <c r="F9" s="2"/>
      <c r="G9" s="2"/>
    </row>
    <row r="10" ht="30" customHeight="1">
      <c r="A10" s="32" t="str">
        <v>Test ID</v>
      </c>
      <c r="B10" s="32" t="str">
        <v>รายการทดสอบ</v>
      </c>
      <c r="C10" s="32" t="str">
        <v>เตรียมก่อนทดสอบ</v>
      </c>
      <c r="D10" s="32" t="str">
        <v>วิธีทดสอบ</v>
      </c>
      <c r="E10" s="32" t="str">
        <v>ผลที่คาดหวัง</v>
      </c>
      <c r="F10" s="32" t="str">
        <v>ผลทดสอบ</v>
      </c>
      <c r="G10" s="32" t="str">
        <v>ผลจริง / Lot / หลักฐาน</v>
      </c>
    </row>
    <row r="11" ht="64" customHeight="1">
      <c r="A11" s="12" t="str">
        <v>S3-01</v>
      </c>
      <c r="B11" s="12" t="str">
        <v>เมนูและ Backend</v>
      </c>
      <c r="C11" s="12" t="str">
        <v>ตั้ง MENU_LEVEL = 3</v>
      </c>
      <c r="D11" s="12" t="str">
        <v>เปิดโปรแกรม ตรวจเมนูและ Backend; ปิดเปิดใหม่</v>
      </c>
      <c r="E11" s="12" t="str">
        <v>เห็น Order List และ Backend DB Setting; ไม่มี Scan, History หรือ Printer Setting</v>
      </c>
      <c r="F11" s="18" t="str">
        <v>☐ ยังไม่ทดสอบ</v>
      </c>
      <c r="G11" s="17"/>
    </row>
    <row r="12" ht="64" customHeight="1">
      <c r="A12" s="16" t="str">
        <v>S3-02</v>
      </c>
      <c r="B12" s="16" t="str">
        <v>กรองรายการ</v>
      </c>
      <c r="C12" s="16" t="str">
        <v>มีงาน 10,11,12,30,31,32,33 และ 02</v>
      </c>
      <c r="D12" s="16" t="str">
        <v>เปิด Order List แล้วเทียบ Job ID</v>
      </c>
      <c r="E12" s="16" t="str">
        <v>เห็นกลุ่มที่ใช้ UV2; ไม่แสดงงาน 02; ข้อมูล Lot/Qty ไม่สลับ</v>
      </c>
      <c r="F12" s="18" t="str">
        <v>☐ ยังไม่ทดสอบ</v>
      </c>
      <c r="G12" s="17"/>
    </row>
    <row r="13" ht="64" customHeight="1">
      <c r="A13" s="12" t="str">
        <v>S3-03</v>
      </c>
      <c r="B13" s="12" t="str">
        <v>สิทธิ์เริ่มงาน</v>
      </c>
      <c r="C13" s="12" t="str">
        <v>งาน 10/30 และ 11/12 ยัง Waiting</v>
      </c>
      <c r="D13" s="12" t="str">
        <v>ลองเริ่มทีละงานโดยยังไม่ให้ ST1 เริ่ม 11/12</v>
      </c>
      <c r="E13" s="12" t="str">
        <v>10/30 เริ่มที่ ST3 ได้; 11/12 ต้องรอ ST1 และไม่ให้จบข้ามตั้งแต่ยังไม่เริ่ม</v>
      </c>
      <c r="F13" s="18" t="str">
        <v>☐ ยังไม่ทดสอบ</v>
      </c>
      <c r="G13" s="17"/>
    </row>
    <row r="14" ht="64" customHeight="1">
      <c r="A14" s="16" t="str">
        <v>S3-04</v>
      </c>
      <c r="B14" s="16" t="str">
        <v>เริ่มงาน 10 เครื่องว่าง</v>
      </c>
      <c r="C14" s="16" t="str">
        <v>UV2 ว่าง; ST1 เปิดอยู่</v>
      </c>
      <c r="D14" s="16" t="str">
        <v>เริ่ม 10 ที่ ST3; ดูคิวและเครื่องหลังรอบรีเฟรช</v>
      </c>
      <c r="E14" s="16" t="str">
        <v>คิวเดินจน ST1 ส่ง UV2 ได้; ถ้าค้าง pending ให้บันทึกไม่ผ่าน</v>
      </c>
      <c r="F14" s="18" t="str">
        <v>☐ ยังไม่ทดสอบ</v>
      </c>
      <c r="G14" s="17"/>
    </row>
    <row r="15" ht="64" customHeight="1">
      <c r="A15" s="12" t="str">
        <v>S3-05</v>
      </c>
      <c r="B15" s="12" t="str">
        <v>รับงาน 11 จาก ST1</v>
      </c>
      <c r="C15" s="12" t="str">
        <v>งาน 11 ลงทะเบียนจาก Barcode</v>
      </c>
      <c r="D15" s="12" t="str">
        <v>เริ่มที่ ST1 แล้วตรวจข้อมูล/คำสั่งที่ ST3</v>
      </c>
      <c r="E15" s="12" t="str">
        <v>Job ID เดียวกัน; ใช้ UV1 และ UV2 ถูกฝั่ง; ไม่สร้างงานหรือส่งขั้นเดิมซ้ำ</v>
      </c>
      <c r="F15" s="18" t="str">
        <v>☐ ยังไม่ทดสอบ</v>
      </c>
      <c r="G15" s="17"/>
    </row>
    <row r="16" ht="64" customHeight="1">
      <c r="A16" s="16" t="str">
        <v>S3-06</v>
      </c>
      <c r="B16" s="16" t="str">
        <v>รับงาน 12 / 32 จาก ST1</v>
      </c>
      <c r="C16" s="16" t="str">
        <v>งาน 12 และ 32 อย่างละงาน</v>
      </c>
      <c r="D16" s="16" t="str">
        <v>เริ่มที่ ST1; ตรวจ MK และ UV2 ก่อนกดจบที่ ST3</v>
      </c>
      <c r="E16" s="16" t="str">
        <v>ทั้งสองรหัสใช้ MK+UV2 เหมือนกัน; ไม่ถือว่าจบครบเมื่อยังขาดขั้นใด</v>
      </c>
      <c r="F16" s="18" t="str">
        <v>☐ ยังไม่ทดสอบ</v>
      </c>
      <c r="G16" s="17"/>
    </row>
    <row r="17" ht="64" customHeight="1">
      <c r="A17" s="12" t="str">
        <v>S3-07</v>
      </c>
      <c r="B17" s="12" t="str">
        <v>ปุ่มปล่อย UV2</v>
      </c>
      <c r="C17" s="12" t="str">
        <v>A ถือ UV2; B รอ UV2</v>
      </c>
      <c r="D17" s="12" t="str">
        <v>กดปุ่มหนึ่งครั้ง แล้วลองกดค้างในรอบถัดไป</v>
      </c>
      <c r="E17" s="12" t="str">
        <v>ปล่อย A แล้วเปิดคิว B ครั้งเดียว; ST1 ส่ง B; ไม่ข้ามไป C จากการกดค้าง</v>
      </c>
      <c r="F17" s="18" t="str">
        <v>☐ ยังไม่ทดสอบ</v>
      </c>
      <c r="G17" s="17"/>
    </row>
    <row r="18" ht="64" customHeight="1">
      <c r="A18" s="16" t="str">
        <v>S3-08</v>
      </c>
      <c r="B18" s="16" t="str">
        <v>เริ่มขณะ UV2 ไม่ว่าง</v>
      </c>
      <c r="C18" s="16" t="str">
        <v>A ถือ UV2; B เป็น 10</v>
      </c>
      <c r="D18" s="16" t="str">
        <v>เริ่ม B ที่ ST3 แล้วตรวจคิว; ปล่อย A</v>
      </c>
      <c r="E18" s="16" t="str">
        <v>ไม่เปลี่ยนโปรแกรมทับ A; B รอและรับเครื่องได้หลังปล่อย</v>
      </c>
      <c r="F18" s="18" t="str">
        <v>☐ ยังไม่ทดสอบ</v>
      </c>
      <c r="G18" s="17"/>
    </row>
    <row r="19" ht="64" customHeight="1">
      <c r="A19" s="12" t="str">
        <v>S3-09</v>
      </c>
      <c r="B19" s="12" t="str">
        <v>ST1 ปิดแล้วเปิดกลับ</v>
      </c>
      <c r="C19" s="12" t="str">
        <v>งาน UV2 มีคิวรอ/active</v>
      </c>
      <c r="D19" s="12" t="str">
        <v>ปิด ST1 ก่อนส่ง; ทำรายการที่ ST3 แล้วเปิด ST1 กลับ</v>
      </c>
      <c r="E19" s="12" t="str">
        <v>ไม่แจ้งพิมพ์สำเร็จก่อนส่งจริง; กลับมาส่งได้ตามคิวโดยไม่ซ้ำ</v>
      </c>
      <c r="F19" s="18" t="str">
        <v>☐ ยังไม่ทดสอบ</v>
      </c>
      <c r="G19" s="17"/>
    </row>
    <row r="20" ht="64" customHeight="1">
      <c r="A20" s="16" t="str">
        <v>S3-10</v>
      </c>
      <c r="B20" s="16" t="str">
        <v>Backend หลุดระหว่างใช้งาน</v>
      </c>
      <c r="C20" s="16" t="str">
        <v>มีงานและคิวเดิม</v>
      </c>
      <c r="D20" s="16" t="str">
        <v>ตัดเครือข่าย ST3; ลองเริ่ม/ปล่อย; เชื่อมต่อกลับ</v>
      </c>
      <c r="E20" s="16" t="str">
        <v>แจ้งการติดต่อผิดพลาด; ไม่รายงานเปลี่ยนคิวสำเร็จผิด; โหลดสถานะจริงกลับได้</v>
      </c>
      <c r="F20" s="18" t="str">
        <v>☐ ยังไม่ทดสอบ</v>
      </c>
      <c r="G20" s="17"/>
    </row>
    <row r="21" ht="64" customHeight="1">
      <c r="A21" s="12" t="str">
        <v>S3-11</v>
      </c>
      <c r="B21" s="12" t="str">
        <v>UV2 ล้มเหลวผ่านคิวปกติ</v>
      </c>
      <c r="C21" s="12" t="str">
        <v>ให้ UV2 Offline หรือ CPI เขียนไม่ได้</v>
      </c>
      <c r="D21" s="12" t="str">
        <v>ให้ ST3 เปิดคิวแล้วรอ ST1 ส่ง</v>
      </c>
      <c r="E21" s="12" t="str">
        <v>ผู้ใช้ ST3 ต้องทราบว่างานไม่ผ่านและสาเหตุ; ไม่เห็นแค่ค้างหรือสำเร็จผิด</v>
      </c>
      <c r="F21" s="18" t="str">
        <v>☐ ยังไม่ทดสอบ</v>
      </c>
      <c r="G21" s="17"/>
    </row>
    <row r="22" ht="64" customHeight="1">
      <c r="A22" s="16" t="str">
        <v>S3-12</v>
      </c>
      <c r="B22" s="16" t="str">
        <v>ปุ่มส่งสำรองปิด / เปิด</v>
      </c>
      <c r="C22" s="16" t="str">
        <v>ผู้ดูแลตั้ง ST3_MANUAL_SEND ตามกรณี</v>
      </c>
      <c r="D22" s="16" t="str">
        <v>เปิด Order Detail; ทดสอบค่าปิดและเปิดกับงานที่มีขั้นเหลือ</v>
      </c>
      <c r="E22" s="16" t="str">
        <v>ปิดแล้วไม่เห็นปุ่ม; เปิดแล้วขอให้ ST1 ส่งขั้นที่ยังขาดได้</v>
      </c>
      <c r="F22" s="18" t="str">
        <v>☐ ยังไม่ทดสอบ</v>
      </c>
      <c r="G22" s="17"/>
    </row>
    <row r="23" ht="64" customHeight="1">
      <c r="A23" s="12" t="str">
        <v>S3-13</v>
      </c>
      <c r="B23" s="12" t="str">
        <v>เลือกรุ่นจาก ST3</v>
      </c>
      <c r="C23" s="12" t="str">
        <v>เปิดส่งสำรอง; โฟลเดอร์ UV2 มีหลายรุ่น</v>
      </c>
      <c r="D23" s="12" t="str">
        <v>เลือกรุ่นแล้วส่งคำขอ; ทดลองยกเลิกและไม่พบไฟล์</v>
      </c>
      <c r="E23" s="12" t="str">
        <v>ST1 ใช้รุ่นที่เลือก; ยกเลิกไม่ส่ง; default ต้องยืนยัน; ตรวจไฟล์ที่เครื่องโหลดจริง</v>
      </c>
      <c r="F23" s="18" t="str">
        <v>☐ ยังไม่ทดสอบ</v>
      </c>
      <c r="G23" s="17"/>
    </row>
    <row r="24" ht="64" customHeight="1">
      <c r="A24" s="16" t="str">
        <v>S3-14</v>
      </c>
      <c r="B24" s="16" t="str">
        <v>คำขอสำรองล้มเหลว</v>
      </c>
      <c r="C24" s="16" t="str">
        <v>เปิดส่งสำรอง; ST1/UV2 ไม่พร้อม</v>
      </c>
      <c r="D24" s="16" t="str">
        <v>ส่งคำขอแล้วรอผล; คืนการเชื่อมต่อและลองตามข้อความแจ้ง</v>
      </c>
      <c r="E24" s="16" t="str">
        <v>ST3 ได้ผลผิดพลาดหรือหมดเวลารอ; ไม่มีคำขอเก่าทำให้พิมพ์เพิ่มเอง</v>
      </c>
      <c r="F24" s="18" t="str">
        <v>☐ ยังไม่ทดสอบ</v>
      </c>
      <c r="G24" s="17"/>
    </row>
    <row r="25" ht="64" customHeight="1">
      <c r="A25" s="12" t="str">
        <v>S3-15</v>
      </c>
      <c r="B25" s="12" t="str">
        <v>IAI จากรายละเอียดงาน</v>
      </c>
      <c r="C25" s="12" t="str">
        <v>งาน Waiting และ Process; แกน Shim ตั้งค่าครบ</v>
      </c>
      <c r="D25" s="12" t="str">
        <v>ลอง Send/Upload ก่อนเริ่ม; หลังเริ่มทดสอบ X/Z1/Z2</v>
      </c>
      <c r="E25" s="12" t="str">
        <v>Waiting สั่งไม่ได้; Process ส่งถูกแกน; บันทึกไม่ครบสองฐานข้อมูลต้องแจ้ง</v>
      </c>
      <c r="F25" s="18" t="str">
        <v>☐ ยังไม่ทดสอบ</v>
      </c>
      <c r="G25" s="17"/>
    </row>
    <row r="26" ht="64" customHeight="1">
      <c r="A26" s="16" t="str">
        <v>S3-16</v>
      </c>
      <c r="B26" s="16" t="str">
        <v>จบครบทุกขั้น</v>
      </c>
      <c r="C26" s="16" t="str">
        <v>งาน 10,11,12 ส่งครบตามแผน</v>
      </c>
      <c r="D26" s="16" t="str">
        <v>ตรวจชิ้นงานจริงและ Qty แล้วกดจบ; เปิด History ที่ ST1</v>
      </c>
      <c r="E26" s="16" t="str">
        <v>สถานะ Success; คิวถูกล้าง; ประวัติทั้งสองจอตรงกัน; ไม่ส่งเพิ่มหลังจบ</v>
      </c>
      <c r="F26" s="18" t="str">
        <v>☐ ยังไม่ทดสอบ</v>
      </c>
      <c r="G26" s="17"/>
    </row>
    <row r="27" ht="64" customHeight="1">
      <c r="A27" s="12" t="str">
        <v>S3-17</v>
      </c>
      <c r="B27" s="12" t="str">
        <v>จบทั้งที่ยังไม่ครบ</v>
      </c>
      <c r="C27" s="12" t="str">
        <v>งานที่เริ่มแล้วแต่ขาด UV2</v>
      </c>
      <c r="D27" s="12" t="str">
        <v>กดจบ; ลองยกเลิกคำยืนยัน แล้วลองยืนยันจบ</v>
      </c>
      <c r="E27" s="12" t="str">
        <v>แจ้งขั้นที่ขาด; ยกเลิกไม่จบ; ยืนยันบันทึก MANUAL_COMPLETE และแสดงว่าไม่ครบ</v>
      </c>
      <c r="F27" s="18" t="str">
        <v>☐ ยังไม่ทดสอบ</v>
      </c>
      <c r="G27" s="17"/>
    </row>
    <row r="28" ht="64" customHeight="1">
      <c r="A28" s="16" t="str">
        <v>S3-18</v>
      </c>
      <c r="B28" s="16" t="str">
        <v>ยกเลิก / คำขอชนกัน</v>
      </c>
      <c r="C28" s="16" t="str">
        <v>งานมีคิวหรือคำขอค้าง; สอง Station พร้อม</v>
      </c>
      <c r="D28" s="16" t="str">
        <v>ยกเลิกพร้อมกับอีกจอกำลังดำเนินงานในระบบทดสอบ</v>
      </c>
      <c r="E28" s="16" t="str">
        <v>งาน Cancel ไม่ถูกส่งภายหลัง; ไม่มีผู้ถือเครื่องซ้ำ; จดลำดับเหตุการณ์ถ้าผิด</v>
      </c>
      <c r="F28" s="18" t="str">
        <v>☐ ยังไม่ทดสอบ</v>
      </c>
      <c r="G28" s="17"/>
    </row>
    <row r="29" ht="23" customHeight="1">
      <c r="A29" s="2"/>
      <c r="B29" s="2"/>
      <c r="C29" s="2"/>
      <c r="D29" s="2"/>
      <c r="E29" s="2"/>
      <c r="F29" s="2"/>
      <c r="G29" s="2"/>
    </row>
    <row r="30" ht="23" customHeight="1">
      <c r="A30" s="2"/>
      <c r="B30" s="2"/>
      <c r="C30" s="2"/>
      <c r="D30" s="2"/>
      <c r="E30" s="2"/>
      <c r="F30" s="2"/>
      <c r="G30" s="2"/>
    </row>
    <row r="31" ht="23" customHeight="1">
      <c r="A31" s="19" t="str">
        <v>จุดเสี่ยงที่ควรตรวจ</v>
      </c>
      <c r="B31" s="19"/>
      <c r="C31" s="19"/>
      <c r="D31" s="19"/>
      <c r="E31" s="19"/>
      <c r="F31" s="19"/>
      <c r="G31" s="19"/>
    </row>
    <row r="32" ht="23" customHeight="1">
      <c r="A32" s="2" t="str">
        <v>S3-04: เริ่มที่ ST3 สร้าง pending แต่ ST1 ส่งเฉพาะ active ที่ยังไม่มีเวลาส่ง มีโอกาสคิวค้าง</v>
      </c>
      <c r="B32" s="2"/>
      <c r="C32" s="2"/>
      <c r="D32" s="2"/>
      <c r="E32" s="2"/>
      <c r="F32" s="2"/>
      <c r="G32" s="2"/>
    </row>
    <row r="33" ht="23" customHeight="1">
      <c r="A33" s="2" t="str">
        <v>S3-11: ผลล้มเหลวของคิวปกติแสดงที่ ST1 แต่ไม่พบการฝาก remote_error กลับเหมือนปุ่มสำรอง</v>
      </c>
      <c r="B33" s="2"/>
      <c r="C33" s="2"/>
      <c r="D33" s="2"/>
      <c r="E33" s="2"/>
      <c r="F33" s="2"/>
      <c r="G33" s="2"/>
    </row>
    <row r="34" ht="23" customHeight="1">
      <c r="A34" s="2" t="str">
        <v>S3-13: โฟลเดอร์ UV2 ที่ ST3 ต้องตั้งใน uv.config; Mode 3 ไม่มีหน้าจอแก้โฟลเดอร์นี้</v>
      </c>
      <c r="B34" s="2"/>
      <c r="C34" s="2"/>
      <c r="D34" s="2"/>
      <c r="E34" s="2"/>
      <c r="F34" s="2"/>
      <c r="G34" s="2"/>
    </row>
    <row r="35" ht="23" customHeight="1">
      <c r="A35" s="2" t="str">
        <v>S3-18: คิวปกติกับ Remote ใช้ตัวตรวจเครื่องว่างต่างกัน ต้องทดสอบเมื่อทำพร้อมกัน</v>
      </c>
      <c r="B35" s="2"/>
      <c r="C35" s="2"/>
      <c r="D35" s="2"/>
      <c r="E35" s="2"/>
      <c r="F35" s="2"/>
      <c r="G35" s="2"/>
    </row>
    <row r="36" ht="23" customHeight="1">
      <c r="A36" s="2" t="str">
        <v>S3-16 / 17: Success เกิดจากคำสั่งและผู้ใช้ยืนยัน ไม่ได้ยืนยันจำนวนพิมพ์จริงครบ Qty</v>
      </c>
      <c r="B36" s="2"/>
      <c r="C36" s="2"/>
      <c r="D36" s="2"/>
      <c r="E36" s="2"/>
      <c r="F36" s="2"/>
      <c r="G36" s="2"/>
    </row>
    <row r="37" ht="23" customHeight="1">
      <c r="A37" s="2"/>
      <c r="B37" s="2"/>
      <c r="C37" s="2"/>
      <c r="D37" s="2"/>
      <c r="E37" s="2"/>
      <c r="F37" s="2"/>
      <c r="G37" s="2"/>
    </row>
    <row r="38" ht="23" customHeight="1">
      <c r="A38" s="20" t="str">
        <v>อ้างอิงโค้ด 2e12b36: MainShellForm, SettingUserControl, OrderList/OrderDetail, MarkingMethodService, StationService</v>
      </c>
      <c r="B38" s="20"/>
      <c r="C38" s="20"/>
      <c r="D38" s="20"/>
      <c r="E38" s="20"/>
      <c r="F38" s="20"/>
      <c r="G38" s="20"/>
    </row>
    <row r="39" ht="23" customHeight="1">
      <c r="A39" s="20" t="str">
        <v>ข้อสังเกตจากโค้ดยังไม่ใช่ผล Fail จริง ต้องทดสอบและบันทึกหลักฐานก่อนสรุป</v>
      </c>
      <c r="B39" s="20"/>
      <c r="C39" s="20"/>
      <c r="D39" s="20"/>
      <c r="E39" s="20"/>
      <c r="F39" s="20"/>
      <c r="G39" s="20"/>
    </row>
  </sheetData>
  <conditionalFormatting sqref="F11:F28">
    <cfRule type="containsText" dxfId="8" priority="1" operator="containsText" text="☑ ผ่าน"/>
    <cfRule type="containsText" dxfId="9" priority="2" operator="containsText" text="☒ ไม่ผ่าน"/>
    <cfRule type="containsText" dxfId="10" priority="3" operator="containsText" text="รอทดสอบ"/>
    <cfRule type="containsText" dxfId="11" priority="4" operator="containsText" text="ไม่เกี่ยวข้อง"/>
  </conditionalFormatting>
  <dataValidations count="1">
    <dataValidation type="list" sqref="F11:F28">
      <formula1>"☐ ยังไม่ทดสอบ,☑ ผ่าน,☒ ไม่ผ่าน,รอทดสอบ,ไม่เกี่ยวข้อง"</formula1>
    </dataValidation>
  </dataValidations>
  <printOptions horizontalCentered="1"/>
  <pageMargins left="0.25" right="0.25" top="0.35" bottom="0.35" header="0.15" footer="0.15"/>
  <pageSetup paperSize="8" orientation="landscape" fitToWidth="1" fitToHeight="0"/>
  <tableParts count="1">
    <tablePart xmlns:r="http://schemas.openxmlformats.org/officeDocument/2006/relationships" r:id="R59a7753332514461"/>
  </tableParts>
</worksheet>
</file>